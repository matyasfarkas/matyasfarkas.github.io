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8.xml" ContentType="application/vnd.openxmlformats-officedocument.drawingml.chart+xml"/>
  <Override PartName="/xl/charts/chart16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S Overview" sheetId="1" state="visible" r:id="rId3"/>
    <sheet name="US Raw Data" sheetId="2" state="visible" r:id="rId4"/>
    <sheet name="US Construction" sheetId="3" state="visible" r:id="rId5"/>
    <sheet name="US Fiscal Arithmetic" sheetId="4" state="visible" r:id="rId6"/>
    <sheet name="US Projection" sheetId="5" state="visible" r:id="rId7"/>
    <sheet name="UK Overview" sheetId="6" state="visible" r:id="rId8"/>
    <sheet name="UK Raw Data" sheetId="7" state="visible" r:id="rId9"/>
    <sheet name="UK Construction" sheetId="8" state="visible" r:id="rId10"/>
    <sheet name="UK Fiscal Arithmetic" sheetId="9" state="visible" r:id="rId11"/>
    <sheet name="UK Projec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<sst xmlns="http://schemas.openxmlformats.org/spreadsheetml/2006/main" count="532" uniqueCount="300">
  <si>
    <t xml:space="preserve">US FISCAL ACCOUNTING — RAW  -&gt;  BVAR  -&gt;  RECURSION  -&gt;  PROJECTION</t>
  </si>
  <si>
    <t xml:space="preserve">THE TARGET CONCEPT</t>
  </si>
  <si>
    <t xml:space="preserve">User's level form</t>
  </si>
  <si>
    <t xml:space="preserve">B_t = Exp_t - Rev_t + (1 + i_eff_t)*B_{t-1},  then  d_t = B_t / GDP_t.
  Exp = PRIMARY expenditure (EXCLUDES interest).  Rev = revenue.  i_eff = effective rate on the debt stock.
  B = debt stock (level).  The interest cost sits entirely in the (1+i_eff)*B_{t-1} term.  d = B/GDP.</t>
  </si>
  <si>
    <t xml:space="preserve">App's ratio form (per quarter)</t>
  </si>
  <si>
    <t xml:space="preserve">d_t = d_{t-1}*(1 + i_eff/400)/(1 + gNomQ/100) - pb/4   (% of GDP; i_eff %/yr; gNomQ %/quarter; pb = rev - primexp).
This is the user's level form rewritten in ratio space and quarterised - the SAME identity. The 'Fiscal Arithmetic' sheet proves the two land on the identical debt/GDP, column by column.</t>
  </si>
  <si>
    <t xml:space="preserve">THE THREE BVAR FISCAL DRIVERS (estimated)</t>
  </si>
  <si>
    <t xml:space="preserve">FREV_GDP</t>
  </si>
  <si>
    <t xml:space="preserve">Revenue / GDP * 100  (% of GDP).  BVAR 'lin' variable.</t>
  </si>
  <si>
    <t xml:space="preserve">FPEXP_GDP</t>
  </si>
  <si>
    <t xml:space="preserve">(Expenditure - interest) / GDP * 100  = PRIMARY expenditure / GDP  (% of GDP).  'lin'.</t>
  </si>
  <si>
    <t xml:space="preserve">DSVC</t>
  </si>
  <si>
    <t xml:space="preserve">Debt service / GDP * 100  = net interest / LAGGED GDP  (% of GDP).  'lin'.  THIS is forecast by the BVAR; the effective rate i_eff is BACKED OUT from it as i_eff = DSVC*100 / d_{t-1}.</t>
  </si>
  <si>
    <t xml:space="preserve">(internal) EFFI</t>
  </si>
  <si>
    <t xml:space="preserve">Effective interest rate = net interest / LAGGED debt stock * 100  (% p.a.).  DSVC = EFFI * d_{t-1}/100, i.e. debt service = the effective rate applied to last quarter's debt ratio.</t>
  </si>
  <si>
    <t xml:space="preserve">THE FIVE SHEETS PER COUNTRY</t>
  </si>
  <si>
    <t xml:space="preserve">Raw Data</t>
  </si>
  <si>
    <t xml:space="preserve">the raw series in levels, with charts.</t>
  </si>
  <si>
    <t xml:space="preserve">Construction</t>
  </si>
  <si>
    <t xml:space="preserve">builds FREV_GDP, FPEXP_GDP, EFFI and DSVC from the raw cells with LIVE formulas.</t>
  </si>
  <si>
    <t xml:space="preserve">Fiscal Arithmetic</t>
  </si>
  <si>
    <t xml:space="preserve">reconstructs HISTORICAL debt/GDP from the flows (back-cast check vs observed).</t>
  </si>
  <si>
    <t xml:space="preserve">Projection</t>
  </si>
  <si>
    <t xml:space="preserve">how the BVAR projects DSVC (debt service) and debt/GDP AHEAD, with 16/84 bands.</t>
  </si>
  <si>
    <t xml:space="preserve">RAW SERIES &amp; SOURCES</t>
  </si>
  <si>
    <t xml:space="preserve">Raw series (role)</t>
  </si>
  <si>
    <t xml:space="preserve">Source ID / provenance, units</t>
  </si>
  <si>
    <t xml:space="preserve">nominal GDP</t>
  </si>
  <si>
    <t xml:space="preserve">FRED: GDP - nominal GDP, $bn SAAR</t>
  </si>
  <si>
    <t xml:space="preserve">federal receipts</t>
  </si>
  <si>
    <t xml:space="preserve">FRED: FGRECPT - federal current receipts, $bn SAAR</t>
  </si>
  <si>
    <t xml:space="preserve">federal expenditure</t>
  </si>
  <si>
    <t xml:space="preserve">FRED: FGEXPND - federal current expenditures (INCL. interest), $bn SAAR</t>
  </si>
  <si>
    <t xml:space="preserve">federal net interest</t>
  </si>
  <si>
    <t xml:space="preserve">FRED: A091RC1Q027SBEA - federal interest payments, $bn SAAR</t>
  </si>
  <si>
    <t xml:space="preserve">gross federal debt</t>
  </si>
  <si>
    <t xml:space="preserve">FRED: GFDEGDQ188S - gross federal debt as % of GDP (the d0 anchor)</t>
  </si>
  <si>
    <t xml:space="preserve">UNIT CONVENTIONS</t>
  </si>
  <si>
    <t xml:space="preserve">SAAR (US flows)</t>
  </si>
  <si>
    <t xml:space="preserve">GDP/FGRECPT/FGEXPND/A091 are Seasonally-Adjusted ANNUAL RATES: each quarter already states an annual $-rate, so a ratio is flow_t / GDP_t with NO *4.</t>
  </si>
  <si>
    <t xml:space="preserve">Quarterly levels (UK flows)</t>
  </si>
  <si>
    <t xml:space="preserve">ONS revenue/expenditure/interest are quarterly LEVELS (GBP m, not annualised), so the ratio uses a 4-QUARTER TRAILING SUM: 4q-sum(flow)/4q-sum(GDP).</t>
  </si>
  <si>
    <t xml:space="preserve">% of GDP (annual ratio)</t>
  </si>
  <si>
    <t xml:space="preserve">FREV_GDP, FPEXP_GDP, DSVC are annual ratios, e.g. 18 means 18% of GDP. Carried in the BVAR as 'lin' (level) variables.</t>
  </si>
  <si>
    <t xml:space="preserve">Effective rate</t>
  </si>
  <si>
    <t xml:space="preserve">EFFI is %/year on the debt STOCK (e.g. 3 = 3%/yr); NOT the policy or market yield.</t>
  </si>
  <si>
    <t xml:space="preserve">Debt / GDP (d)</t>
  </si>
  <si>
    <t xml:space="preserve">d, d0 in %, e.g. 100 = 100% of GDP.  This workbook's US d0 = 122.5682%.</t>
  </si>
  <si>
    <t xml:space="preserve">Nominal growth gNomQ</t>
  </si>
  <si>
    <t xml:space="preserve">%/QUARTER. US: from SAAR GDP (already annual). UK: from the 4q-GDP base (same base the ratio uses). The forecast uses Delta(real 100*log GDP) + Delta(deflator 100*log).</t>
  </si>
  <si>
    <t xml:space="preserve">COVID NOTE (US only): the deployed BVAR linearly interpolates FPEXP_GDP across the SAME 7 quarters it carries, 2020Q2-2021Q4, to remove the CARES/ARP emergency-spending spike (raw 2020Q2 FPEXP ~42% of GDP vs a ~20% norm). US flows are SAAR, so there is NO annual-window lag: the treated quarters ARE the BVAR's quarters. The Construction sheet shows BOTH the raw (no-COVID) FPEXP and the value that actually entered the BVAR. FREV and DSVC are untreated. The UK gets no COVID treatment (raw == deployed).</t>
  </si>
  <si>
    <t xml:space="preserve">SPOT-CHECK vs the deployed BVAR app/public/data/bvar/US:
US 2025Q4 (last history): FREV_GDP=18.7715, FPEXP_GDP=20.2281, DSVC=3.9472 - MATCH historical.json cols 33/34/35 exactly. All 40 quarters match to &lt;1e-4, except the 7 COVID quarters 2020Q2-2021Q4 where the into-BVAR FPEXP is interpolated (raw 2020Q2 FPEXP=41.97 vs into-BVAR 20.04). BVAR projects DSVC 3.96 -&gt; 4.92% of GDP over 20 quarters (see US Projection).</t>
  </si>
  <si>
    <t xml:space="preserve">US RAW DATA - FRED quarterly (SAAR flows; debt as % of GDP)</t>
  </si>
  <si>
    <t xml:space="preserve">Date</t>
  </si>
  <si>
    <t xml:space="preserve">GDP ($bn, SAAR)</t>
  </si>
  <si>
    <t xml:space="preserve">FGRECPT receipts ($bn, SAAR)</t>
  </si>
  <si>
    <t xml:space="preserve">FGEXPND expenditure ($bn, SAAR)</t>
  </si>
  <si>
    <t xml:space="preserve">A091 net interest ($bn, SAAR)</t>
  </si>
  <si>
    <t xml:space="preserve">GFDEGDQ188S gross debt (% of GDP)</t>
  </si>
  <si>
    <t xml:space="preserve">FRED: GDP</t>
  </si>
  <si>
    <t xml:space="preserve">FRED: FGRECPT</t>
  </si>
  <si>
    <t xml:space="preserve">FRED: FGEXPND</t>
  </si>
  <si>
    <t xml:space="preserve">FRED: A091RC1Q027SBEA</t>
  </si>
  <si>
    <t xml:space="preserve">FRED: GFDEGDQ188S</t>
  </si>
  <si>
    <t xml:space="preserve">1998-Q2</t>
  </si>
  <si>
    <t xml:space="preserve">1998-Q3</t>
  </si>
  <si>
    <t xml:space="preserve">1998-Q4</t>
  </si>
  <si>
    <t xml:space="preserve">1999-Q1</t>
  </si>
  <si>
    <t xml:space="preserve">1999-Q2</t>
  </si>
  <si>
    <t xml:space="preserve">1999-Q3</t>
  </si>
  <si>
    <t xml:space="preserve">1999-Q4</t>
  </si>
  <si>
    <t xml:space="preserve">2000-Q1</t>
  </si>
  <si>
    <t xml:space="preserve">2000-Q2</t>
  </si>
  <si>
    <t xml:space="preserve">2000-Q3</t>
  </si>
  <si>
    <t xml:space="preserve">2000-Q4</t>
  </si>
  <si>
    <t xml:space="preserve">2001-Q1</t>
  </si>
  <si>
    <t xml:space="preserve">2001-Q2</t>
  </si>
  <si>
    <t xml:space="preserve">2001-Q3</t>
  </si>
  <si>
    <t xml:space="preserve">2001-Q4</t>
  </si>
  <si>
    <t xml:space="preserve">2002-Q1</t>
  </si>
  <si>
    <t xml:space="preserve">2002-Q2</t>
  </si>
  <si>
    <t xml:space="preserve">2002-Q3</t>
  </si>
  <si>
    <t xml:space="preserve">2002-Q4</t>
  </si>
  <si>
    <t xml:space="preserve">2003-Q1</t>
  </si>
  <si>
    <t xml:space="preserve">2003-Q2</t>
  </si>
  <si>
    <t xml:space="preserve">2003-Q3</t>
  </si>
  <si>
    <t xml:space="preserve">2003-Q4</t>
  </si>
  <si>
    <t xml:space="preserve">2004-Q1</t>
  </si>
  <si>
    <t xml:space="preserve">2004-Q2</t>
  </si>
  <si>
    <t xml:space="preserve">2004-Q3</t>
  </si>
  <si>
    <t xml:space="preserve">2004-Q4</t>
  </si>
  <si>
    <t xml:space="preserve">2005-Q1</t>
  </si>
  <si>
    <t xml:space="preserve">2005-Q2</t>
  </si>
  <si>
    <t xml:space="preserve">2005-Q3</t>
  </si>
  <si>
    <t xml:space="preserve">2005-Q4</t>
  </si>
  <si>
    <t xml:space="preserve">2006-Q1</t>
  </si>
  <si>
    <t xml:space="preserve">2006-Q2</t>
  </si>
  <si>
    <t xml:space="preserve">2006-Q3</t>
  </si>
  <si>
    <t xml:space="preserve">2006-Q4</t>
  </si>
  <si>
    <t xml:space="preserve">2007-Q1</t>
  </si>
  <si>
    <t xml:space="preserve">2007-Q2</t>
  </si>
  <si>
    <t xml:space="preserve">2007-Q3</t>
  </si>
  <si>
    <t xml:space="preserve">2007-Q4</t>
  </si>
  <si>
    <t xml:space="preserve">2008-Q1</t>
  </si>
  <si>
    <t xml:space="preserve">2008-Q2</t>
  </si>
  <si>
    <t xml:space="preserve">2008-Q3</t>
  </si>
  <si>
    <t xml:space="preserve">2008-Q4</t>
  </si>
  <si>
    <t xml:space="preserve">2009-Q1</t>
  </si>
  <si>
    <t xml:space="preserve">2009-Q2</t>
  </si>
  <si>
    <t xml:space="preserve">2009-Q3</t>
  </si>
  <si>
    <t xml:space="preserve">2009-Q4</t>
  </si>
  <si>
    <t xml:space="preserve">2010-Q1</t>
  </si>
  <si>
    <t xml:space="preserve">2010-Q2</t>
  </si>
  <si>
    <t xml:space="preserve">2010-Q3</t>
  </si>
  <si>
    <t xml:space="preserve">2010-Q4</t>
  </si>
  <si>
    <t xml:space="preserve">2011-Q1</t>
  </si>
  <si>
    <t xml:space="preserve">2011-Q2</t>
  </si>
  <si>
    <t xml:space="preserve">2011-Q3</t>
  </si>
  <si>
    <t xml:space="preserve">2011-Q4</t>
  </si>
  <si>
    <t xml:space="preserve">2012-Q1</t>
  </si>
  <si>
    <t xml:space="preserve">2012-Q2</t>
  </si>
  <si>
    <t xml:space="preserve">2012-Q3</t>
  </si>
  <si>
    <t xml:space="preserve">2012-Q4</t>
  </si>
  <si>
    <t xml:space="preserve">2013-Q1</t>
  </si>
  <si>
    <t xml:space="preserve">2013-Q2</t>
  </si>
  <si>
    <t xml:space="preserve">2013-Q3</t>
  </si>
  <si>
    <t xml:space="preserve">2013-Q4</t>
  </si>
  <si>
    <t xml:space="preserve">2014-Q1</t>
  </si>
  <si>
    <t xml:space="preserve">2014-Q2</t>
  </si>
  <si>
    <t xml:space="preserve">2014-Q3</t>
  </si>
  <si>
    <t xml:space="preserve">2014-Q4</t>
  </si>
  <si>
    <t xml:space="preserve">2015-Q1</t>
  </si>
  <si>
    <t xml:space="preserve">2015-Q2</t>
  </si>
  <si>
    <t xml:space="preserve">2015-Q3</t>
  </si>
  <si>
    <t xml:space="preserve">2015-Q4</t>
  </si>
  <si>
    <t xml:space="preserve">2016-Q1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</si>
  <si>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</si>
  <si>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</si>
  <si>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</si>
  <si>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</si>
  <si>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</si>
  <si>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</si>
  <si>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</si>
  <si>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2018-Q1</t>
  </si>
  <si>
    <t xml:space="preserve">2018-Q2</t>
  </si>
  <si>
    <t xml:space="preserve">2018-Q3</t>
  </si>
  <si>
    <t xml:space="preserve">2018-Q4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</si>
  <si>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</si>
  <si>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</si>
  <si>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</si>
  <si>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</si>
  <si>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</si>
  <si>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</si>
  <si>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</si>
  <si>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</si>
  <si>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</si>
  <si>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</si>
  <si>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</si>
  <si>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</si>
  <si>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</si>
  <si>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</si>
  <si>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</si>
  <si>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</si>
  <si>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</si>
  <si>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</si>
  <si>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</si>
  <si>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</si>
  <si>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</si>
  <si>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</si>
  <si>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</si>
  <si>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</si>
  <si>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</si>
  <si>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</si>
  <si>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</si>
  <si>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</si>
  <si>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US CONSTRUCTION - BVAR fiscal inputs from raw cells (LIVE FORMULAS)</t>
  </si>
  <si>
    <t xml:space="preserve">Every value is a LIVE formula referencing 'US Raw Data'. US flows are SAAR (already annual): ratios are flow_t/GDP_t with NO *4. Lags reference the row ABOVE on Raw Data; the first row here is 1998Q3 (1998Q2 sits on Raw Data only to supply that lag). Column C is the RAW (no-COVID) FPEXP; column D is the FPEXP that ACTUALLY entered the BVAR (= raw, except interpolated across 2020Q2-2021Q4). FREV (B) and DSVC (G) are untreated.</t>
  </si>
  <si>
    <t xml:space="preserve">FREV_GDP (% GDP)</t>
  </si>
  <si>
    <t xml:space="preserve">FPEXP_GDP RAW (% GDP)</t>
  </si>
  <si>
    <t xml:space="preserve">FPEXP_GDP into BVAR (% GDP)</t>
  </si>
  <si>
    <t xml:space="preserve">net interest ($bn)</t>
  </si>
  <si>
    <t xml:space="preserve">EFFI (% p.a.)</t>
  </si>
  <si>
    <t xml:space="preserve">d_{t-1} (% GDP)</t>
  </si>
  <si>
    <t xml:space="preserve">DSVC (% GDP)</t>
  </si>
  <si>
    <t xml:space="preserve">FREV = FGRECPT / GDP * 100</t>
  </si>
  <si>
    <t xml:space="preserve">raw primary exp = (FGEXPND - A091) / GDP * 100  [no COVID treatment]</t>
  </si>
  <si>
    <t xml:space="preserve"> = raw, EXCEPT linearly interpolated across 2020Q2-2021Q4 (COVID outlier)</t>
  </si>
  <si>
    <t xml:space="preserve"> = A091 (SAAR) - the debt-service $ cost</t>
  </si>
  <si>
    <t xml:space="preserve">EFFI = A091 / [ (debt/GDP_{t-1}/100) * GDP_{t-1} ] * 100</t>
  </si>
  <si>
    <t xml:space="preserve"> = GFDEGDQ188S of the previous quarter (lagged debt ratio)</t>
  </si>
  <si>
    <t xml:space="preserve">DSVC = A091 / GDP_{t-1} * 100  = EFFI * d_{t-1}/100  (DEBT SERVICE)</t>
  </si>
  <si>
    <t xml:space="preserve">US FISCAL ARITHMETIC - decompose the OBSERVED debt/GDP change (LIVE)</t>
  </si>
  <si>
    <t xml:space="preserve">A one-step decomposition of the OBSERVED debt change: each row rolls forward from the OBSERVED d_{t-1}, so it is an exact quarter-by-quarter accounting. Same budget identity in two forms:
  RATIO form (the app): d_t = d_{t-1}*(1+i_eff/400)/(1+gNomQ/100) - pb/4 + sfa/4
  LEVEL form (your concept): B_t = (1+i_eff/400)*B_{t-1} - PB$_t + SFA$_t , then d_t = B_t/GDPann_t*100.
pb = FREV - FPEXP. SFA (col H) is a COMPUTED residual = the part of the observed debt change NOT explained by interest+growth+primary balance (the deficit-debt discrepancy: valuation, below-the-line financing). It is NOT a zero input - it is informative. With it, BOTH forms reproduce OBSERVED debt/GDP to the last digit (col L = 0).</t>
  </si>
  <si>
    <t xml:space="preserve">pb (% GDP)</t>
  </si>
  <si>
    <t xml:space="preserve">DSVC = interest (% GDP)</t>
  </si>
  <si>
    <t xml:space="preserve">i_eff (% p.a.)</t>
  </si>
  <si>
    <t xml:space="preserve">gNomQ (% / quarter)</t>
  </si>
  <si>
    <t xml:space="preserve">d_{t-1} OBSERVED (% GDP)</t>
  </si>
  <si>
    <t xml:space="preserve">snowball (pp)</t>
  </si>
  <si>
    <t xml:space="preserve">SFA (% GDP, residual)</t>
  </si>
  <si>
    <t xml:space="preserve">d_t RATIO form (% GDP)</t>
  </si>
  <si>
    <t xml:space="preserve">B_t LEVEL ($/GBP)</t>
  </si>
  <si>
    <t xml:space="preserve">d_t from LEVEL (% GDP)</t>
  </si>
  <si>
    <t xml:space="preserve">OBSERVED d_t (% GDP)</t>
  </si>
  <si>
    <t xml:space="preserve">recon - observed (pp)</t>
  </si>
  <si>
    <t xml:space="preserve">primary balance = FREV - FPEXP (FPEXP as it ENTERED the BVAR)</t>
  </si>
  <si>
    <t xml:space="preserve">debt service from Construction (the estimated driver)</t>
  </si>
  <si>
    <t xml:space="preserve">effective rate, BACKED OUT: i_eff = DSVC*100 / d_{t-1}</t>
  </si>
  <si>
    <t xml:space="preserve">US: 100*(GDP_t/GDP_{t-1}-1), SAAR. UK: 100*(4qGDP_t/4qGDP_{t-1}-1)</t>
  </si>
  <si>
    <t xml:space="preserve">lagged OBSERVED debt ratio (the decomposition starts from data each step)</t>
  </si>
  <si>
    <t xml:space="preserve"> = [(1+i_eff/400)/(1+gNomQ/100) - 1] * d_{t-1}  (automatic debt dynamics)</t>
  </si>
  <si>
    <t xml:space="preserve"> = 4*(d_obs_t - d_{t-1} - snowball + pb/4)  (deficit-debt discrepancy, COMPUTED)</t>
  </si>
  <si>
    <t xml:space="preserve"> = d_{t-1}(1+i_eff/400)/(1+gNomQ/100) - pb/4 + sfa/4</t>
  </si>
  <si>
    <t xml:space="preserve"> = (1+i_eff/400)*B_{t-1} - PB$_t + SFA$_t ; B_{t-1}=d_{t-1}/100*GDPann_{t-1}</t>
  </si>
  <si>
    <t xml:space="preserve"> = B_t / GDPann_t * 100  (must equal the RATIO-form d_t)</t>
  </si>
  <si>
    <t xml:space="preserve">US: GFDEGDQ188S; UK: 100*gross_debt_t/4qGDP_t  (back-cast TARGET)</t>
  </si>
  <si>
    <t xml:space="preserve"> = d_t(ratio) - observed  (the CHECK, ~0 with the SFA residual)</t>
  </si>
  <si>
    <t xml:space="preserve">EQUIVALENCE: the RATIO-form d_t (col I) and the LEVEL-form d_t (col K) are identical to display precision - your level recursion B_t=(1+i_eff)B_{t-1}-(Exp-Rev)+SFA and the app's ratio recursion are the SAME identity. col M (recon - observed) is ~0 because the SFA residual (col H) closes the identity onto observed. SFA itself is the informative deficit-debt discrepancy (financial transactions / valuation / below-the-line) - read it as a column in its own right.</t>
  </si>
  <si>
    <t xml:space="preserve">US PROJECTION - how the BVAR forecasts debt service &amp; debt/GDP AHEAD</t>
  </si>
  <si>
    <t xml:space="preserve">The orange columns (FREV, FPEXP, DSVC and its 16/84 bands, plus the forecast 100*log GDP and deflator) ARE the deployed BVAR output, app/public/data/bvar/US/baseline_levels.json, over the 20-quarter forecast starting the quarter after the last history. The BVAR forecasts DSVC (debt service) DIRECTLY as a 'lin' variable. From it the white columns back out the effective rate and roll the debt forward with LIVE formulas, exactly as fiscalAccounting.ts does:
  i_eff = DSVC*100/d_{t-1} ;  gNomQ = Delta(100*log GDP) + Delta(100*log deflator) ;  pb = FREV - FPEXP ;
  d_t = d_{t-1}*(1+i_eff/400)/(1+gNomQ/100) - pb/4.   The debt-service $ cost = DSVC/100 * GDP grows as both DSVC (the rate*stock effect) and GDP rise. The 16/84 DSVC band shows the BVAR's forecast uncertainty on the debt-service cost.</t>
  </si>
  <si>
    <t xml:space="preserve">Fcst q</t>
  </si>
  <si>
    <t xml:space="preserve">FPEXP_GDP (% GDP)</t>
  </si>
  <si>
    <t xml:space="preserve">DSVC q16 (% GDP)</t>
  </si>
  <si>
    <t xml:space="preserve">DSVC q84 (% GDP)</t>
  </si>
  <si>
    <t xml:space="preserve">100*log GDP</t>
  </si>
  <si>
    <t xml:space="preserve">100*log deflator</t>
  </si>
  <si>
    <t xml:space="preserve">gNomQ (% / q)</t>
  </si>
  <si>
    <t xml:space="preserve">d_t (% GDP)</t>
  </si>
  <si>
    <t xml:space="preserve">BVAR forecast, baseline_levels</t>
  </si>
  <si>
    <t xml:space="preserve">BVAR forecast debt service (the estimated driver)</t>
  </si>
  <si>
    <t xml:space="preserve">BVAR 16th pctile band</t>
  </si>
  <si>
    <t xml:space="preserve">BVAR 84th pctile band</t>
  </si>
  <si>
    <t xml:space="preserve">BVAR forecast real GDP (level space)</t>
  </si>
  <si>
    <t xml:space="preserve">BVAR forecast GDP deflator (level space)</t>
  </si>
  <si>
    <t xml:space="preserve"> = Delta(100*log GDP) + Delta(100*log deflator)  (nominal growth)</t>
  </si>
  <si>
    <t xml:space="preserve"> = FREV - FPEXP  (primary balance)</t>
  </si>
  <si>
    <t xml:space="preserve"> = DSVC*100 / d_{t-1}  (effective rate, backed out)</t>
  </si>
  <si>
    <t xml:space="preserve">lagged debt ratio (seed = d0 = last observed debt/GDP)</t>
  </si>
  <si>
    <t xml:space="preserve"> = d_{t-1}(1+i_eff/400)/(1+gNomQ/100) - pb/4  (PROJECTED debt/GDP)</t>
  </si>
  <si>
    <t xml:space="preserve">f+1</t>
  </si>
  <si>
    <t xml:space="preserve">f+2</t>
  </si>
  <si>
    <t xml:space="preserve">f+3</t>
  </si>
  <si>
    <t xml:space="preserve">f+4</t>
  </si>
  <si>
    <t xml:space="preserve">f+5</t>
  </si>
  <si>
    <t xml:space="preserve">f+6</t>
  </si>
  <si>
    <t xml:space="preserve">f+7</t>
  </si>
  <si>
    <t xml:space="preserve">f+8</t>
  </si>
  <si>
    <t xml:space="preserve">f+9</t>
  </si>
  <si>
    <t xml:space="preserve">f+10</t>
  </si>
  <si>
    <t xml:space="preserve">f+11</t>
  </si>
  <si>
    <t xml:space="preserve">f+12</t>
  </si>
  <si>
    <t xml:space="preserve">f+13</t>
  </si>
  <si>
    <t xml:space="preserve">f+14</t>
  </si>
  <si>
    <t xml:space="preserve">f+15</t>
  </si>
  <si>
    <t xml:space="preserve">f+16</t>
  </si>
  <si>
    <t xml:space="preserve">f+17</t>
  </si>
  <si>
    <t xml:space="preserve">f+18</t>
  </si>
  <si>
    <t xml:space="preserve">f+19</t>
  </si>
  <si>
    <t xml:space="preserve">f+20</t>
  </si>
  <si>
    <t xml:space="preserve">READ-OFF: DSVC (col D) is the BVAR's projected debt-service-to-GDP; the q16/q84 columns are its forecast band. The effective rate i_eff (col K) is what that debt service implies on the rolling debt stock, and the projected debt/GDP (col M) is the budget identity applied forward from d0. This is the exact path the app charts.</t>
  </si>
  <si>
    <t xml:space="preserve">UK FISCAL ACCOUNTING — RAW  -&gt;  BVAR  -&gt;  RECURSION  -&gt;  PROJECTION</t>
  </si>
  <si>
    <t xml:space="preserve">public-sector revenue</t>
  </si>
  <si>
    <t xml:space="preserve">ONS: public-sector current receipts, GBPm quarterly LEVEL</t>
  </si>
  <si>
    <t xml:space="preserve">total managed expenditure</t>
  </si>
  <si>
    <t xml:space="preserve">ONS: total public-sector expenditure INCL. interest, GBPm quarterly LEVEL</t>
  </si>
  <si>
    <t xml:space="preserve">public-sector debt interest</t>
  </si>
  <si>
    <t xml:space="preserve">ONS: net public-sector debt interest, GBPm quarterly LEVEL</t>
  </si>
  <si>
    <t xml:space="preserve">gross debt stock</t>
  </si>
  <si>
    <t xml:space="preserve">ONS: public-sector gross debt, GBPm end-quarter STOCK</t>
  </si>
  <si>
    <t xml:space="preserve">ONS: nominal GDP, GBPm quarterly LEVEL</t>
  </si>
  <si>
    <t xml:space="preserve">d, d0 in %, e.g. 100 = 100% of GDP.  This workbook's UK d0 = 96.2412%.</t>
  </si>
  <si>
    <t xml:space="preserve">SPOT-CHECK vs the deployed BVAR app/public/data/bvar/UK:
UK 2025Q4 (last history): FREV_GDP=39.4124, FPEXP_GDP=37.6083, DSVC=3.8142, d0=96.2412 - MATCH historical.json cols 16/17/18 and fiscal_meta.json exactly. All 40 quarters match to &lt;1e-4. No COVID treatment applied. BVAR projects DSVC 4.21 -&gt; 3.31% of GDP over 20 quarters (see UK Projection).</t>
  </si>
  <si>
    <t xml:space="preserve">UK RAW DATA - ONS quarterly LEVELS (GBP million, not annualised)</t>
  </si>
  <si>
    <t xml:space="preserve">revenue (GBPm, q-level)</t>
  </si>
  <si>
    <t xml:space="preserve">total_expenditure (GBPm)</t>
  </si>
  <si>
    <t xml:space="preserve">interest (GBPm, q-level)</t>
  </si>
  <si>
    <t xml:space="preserve">gross_debt (GBPm, stock)</t>
  </si>
  <si>
    <t xml:space="preserve">nominal_gdp (GBPm, q-level)</t>
  </si>
  <si>
    <t xml:space="preserve">ONS public-sector current receipts</t>
  </si>
  <si>
    <t xml:space="preserve">ONS total managed expenditure (incl. interest)</t>
  </si>
  <si>
    <t xml:space="preserve">ONS public-sector debt interest (net)</t>
  </si>
  <si>
    <t xml:space="preserve">ONS public-sector gross debt (end-quarter STOCK)</t>
  </si>
  <si>
    <t xml:space="preserve">ONS nominal GDP, quarterly level</t>
  </si>
  <si>
    <t xml:space="preserve">UK CONSTRUCTION - BVAR fiscal inputs from raw cells (LIVE FORMULAS, 4q trailing sums)</t>
  </si>
  <si>
    <t xml:space="preserve">UK flows are quarterly LEVELS, so each ratio annualises via a 4-QUARTER TRAILING SUM (SUM over the current and prior 3 rows; the first few rows use the available &lt;4 quarters, matching the pipeline). EFFI uses *4 (a quarterly interest vs a stock); contrast the US, already SAAR. The UK gets NO COVID treatment: raw == what enters the BVAR.</t>
  </si>
  <si>
    <t xml:space="preserve">4q rev</t>
  </si>
  <si>
    <t xml:space="preserve">4q primexp</t>
  </si>
  <si>
    <t xml:space="preserve">4q GDP</t>
  </si>
  <si>
    <t xml:space="preserve"> = SUM(revenue, this + prior 3 q)</t>
  </si>
  <si>
    <t xml:space="preserve"> = SUM(total_exp - interest, this + prior 3 q)</t>
  </si>
  <si>
    <t xml:space="preserve"> = SUM(nominal_gdp, this + prior 3 q)</t>
  </si>
  <si>
    <t xml:space="preserve">FREV = 100 * 4qRev / 4qGDP</t>
  </si>
  <si>
    <t xml:space="preserve">FPEXP = 100 * 4qPrimexp / 4qGDP</t>
  </si>
  <si>
    <t xml:space="preserve">EFFI = 100 * 4 * interest_t / gross_debt_{t-1}</t>
  </si>
  <si>
    <t xml:space="preserve">d = 100 * gross_debt_t / 4qGDP_t</t>
  </si>
  <si>
    <t xml:space="preserve"> = prior-row d_t (lagged debt ratio)</t>
  </si>
  <si>
    <t xml:space="preserve">DSVC = EFFI * d_{t-1}/100  = 100*4*interest_t/4qGDP_{t-1}  (DEBT SERVICE)</t>
  </si>
  <si>
    <t xml:space="preserve">UK FISCAL ARITHMETIC - decompose the OBSERVED debt/GDP change (LIVE)</t>
  </si>
  <si>
    <t xml:space="preserve">UK PROJECTION - how the BVAR forecasts debt service &amp; debt/GDP AHEAD</t>
  </si>
  <si>
    <t xml:space="preserve">The orange columns (FREV, FPEXP, DSVC and its 16/84 bands, plus the forecast 100*log GDP and deflator) ARE the deployed BVAR output, app/public/data/bvar/UK/baseline_levels.json, over the 20-quarter forecast starting the quarter after the last history. The BVAR forecasts DSVC (debt service) DIRECTLY as a 'lin' variable. From it the white columns back out the effective rate and roll the debt forward with LIVE formulas, exactly as fiscalAccounting.ts does:
  i_eff = DSVC*100/d_{t-1} ;  gNomQ = Delta(100*log GDP) + Delta(100*log deflator) ;  pb = FREV - FPEXP ;
  d_t = d_{t-1}*(1+i_eff/400)/(1+gNomQ/100) - pb/4.   The debt-service $ cost = DSVC/100 * GDP grows as both DSVC (the rate*stock effect) and GDP rise. The 16/84 DSVC band shows the BVAR's forecast uncertainty on the debt-service cost.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</si>
</sst>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7F6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GDP ($bn, SAAR)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Raw Data'!B3</c:f>
              <c:strCache>
                <c:ptCount val="1"/>
                <c:pt idx="0">
                  <c:v>GDP ($bn, SAAR)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Data'!$B$4:$B$115</c:f>
              <c:numCache>
                <c:formatCode>#,##0</c:formatCode>
                <c:ptCount val="112"/>
                <c:pt idx="1">
                  <c:v>8969.699</c:v>
                </c:pt>
                <c:pt idx="2">
                  <c:v>9121.097</c:v>
                </c:pt>
                <c:pt idx="3">
                  <c:v>9293.991</c:v>
                </c:pt>
                <c:pt idx="4">
                  <c:v>9411.682</c:v>
                </c:pt>
                <c:pt idx="5">
                  <c:v>9526.21</c:v>
                </c:pt>
                <c:pt idx="6">
                  <c:v>9686.626</c:v>
                </c:pt>
                <c:pt idx="7">
                  <c:v>9900.169</c:v>
                </c:pt>
                <c:pt idx="8">
                  <c:v>10002.179</c:v>
                </c:pt>
                <c:pt idx="9">
                  <c:v>10247.72</c:v>
                </c:pt>
                <c:pt idx="10">
                  <c:v>10318.165</c:v>
                </c:pt>
                <c:pt idx="11">
                  <c:v>10435.744</c:v>
                </c:pt>
                <c:pt idx="12">
                  <c:v>10470.231</c:v>
                </c:pt>
                <c:pt idx="13">
                  <c:v>10599</c:v>
                </c:pt>
                <c:pt idx="14">
                  <c:v>10598.02</c:v>
                </c:pt>
                <c:pt idx="15">
                  <c:v>10660.465</c:v>
                </c:pt>
                <c:pt idx="16">
                  <c:v>10783.5</c:v>
                </c:pt>
                <c:pt idx="17">
                  <c:v>10887.46</c:v>
                </c:pt>
                <c:pt idx="18">
                  <c:v>10984.04</c:v>
                </c:pt>
                <c:pt idx="19">
                  <c:v>11061.433</c:v>
                </c:pt>
                <c:pt idx="20">
                  <c:v>11174.129</c:v>
                </c:pt>
                <c:pt idx="21">
                  <c:v>11312.766</c:v>
                </c:pt>
                <c:pt idx="22">
                  <c:v>11566.669</c:v>
                </c:pt>
                <c:pt idx="23">
                  <c:v>11772.234</c:v>
                </c:pt>
                <c:pt idx="24">
                  <c:v>11923.447</c:v>
                </c:pt>
                <c:pt idx="25">
                  <c:v>12112.815</c:v>
                </c:pt>
                <c:pt idx="26">
                  <c:v>12305.307</c:v>
                </c:pt>
                <c:pt idx="27">
                  <c:v>12527.214</c:v>
                </c:pt>
                <c:pt idx="28">
                  <c:v>12767.286</c:v>
                </c:pt>
                <c:pt idx="29">
                  <c:v>12922.656</c:v>
                </c:pt>
                <c:pt idx="30">
                  <c:v>13142.642</c:v>
                </c:pt>
                <c:pt idx="31">
                  <c:v>13324.204</c:v>
                </c:pt>
                <c:pt idx="32">
                  <c:v>13599.16</c:v>
                </c:pt>
                <c:pt idx="33">
                  <c:v>13753.424</c:v>
                </c:pt>
                <c:pt idx="34">
                  <c:v>13870.188</c:v>
                </c:pt>
                <c:pt idx="35">
                  <c:v>14039.56</c:v>
                </c:pt>
                <c:pt idx="36">
                  <c:v>14215.651</c:v>
                </c:pt>
                <c:pt idx="37">
                  <c:v>14402.082</c:v>
                </c:pt>
                <c:pt idx="38">
                  <c:v>14564.117</c:v>
                </c:pt>
                <c:pt idx="39">
                  <c:v>14715.058</c:v>
                </c:pt>
                <c:pt idx="40">
                  <c:v>14706.538</c:v>
                </c:pt>
                <c:pt idx="41">
                  <c:v>14865.701</c:v>
                </c:pt>
                <c:pt idx="42">
                  <c:v>14898.999</c:v>
                </c:pt>
                <c:pt idx="43">
                  <c:v>14608.209</c:v>
                </c:pt>
                <c:pt idx="44">
                  <c:v>14430.902</c:v>
                </c:pt>
                <c:pt idx="45">
                  <c:v>14381.236</c:v>
                </c:pt>
                <c:pt idx="46">
                  <c:v>14448.882</c:v>
                </c:pt>
                <c:pt idx="47">
                  <c:v>14651.249</c:v>
                </c:pt>
                <c:pt idx="48">
                  <c:v>14764.61</c:v>
                </c:pt>
                <c:pt idx="49">
                  <c:v>14980.193</c:v>
                </c:pt>
                <c:pt idx="50">
                  <c:v>15141.607</c:v>
                </c:pt>
                <c:pt idx="51">
                  <c:v>15309.474</c:v>
                </c:pt>
                <c:pt idx="52">
                  <c:v>15351.448</c:v>
                </c:pt>
                <c:pt idx="53">
                  <c:v>15557.539</c:v>
                </c:pt>
                <c:pt idx="54">
                  <c:v>15647.68</c:v>
                </c:pt>
                <c:pt idx="55">
                  <c:v>15842.259</c:v>
                </c:pt>
                <c:pt idx="56">
                  <c:v>16068.805</c:v>
                </c:pt>
                <c:pt idx="57">
                  <c:v>16207.115</c:v>
                </c:pt>
                <c:pt idx="58">
                  <c:v>16319.541</c:v>
                </c:pt>
                <c:pt idx="59">
                  <c:v>16420.419</c:v>
                </c:pt>
                <c:pt idx="60">
                  <c:v>16648.189</c:v>
                </c:pt>
                <c:pt idx="61">
                  <c:v>16728.687</c:v>
                </c:pt>
                <c:pt idx="62">
                  <c:v>16953.838</c:v>
                </c:pt>
                <c:pt idx="63">
                  <c:v>17192.019</c:v>
                </c:pt>
                <c:pt idx="64">
                  <c:v>17197.738</c:v>
                </c:pt>
                <c:pt idx="65">
                  <c:v>17518.508</c:v>
                </c:pt>
                <c:pt idx="66">
                  <c:v>17804.228</c:v>
                </c:pt>
                <c:pt idx="67">
                  <c:v>17912.079</c:v>
                </c:pt>
                <c:pt idx="68">
                  <c:v>18063.529</c:v>
                </c:pt>
                <c:pt idx="69">
                  <c:v>18279.784</c:v>
                </c:pt>
                <c:pt idx="70">
                  <c:v>18401.626</c:v>
                </c:pt>
                <c:pt idx="71">
                  <c:v>18435.137</c:v>
                </c:pt>
                <c:pt idx="72">
                  <c:v>18525.933</c:v>
                </c:pt>
                <c:pt idx="73">
                  <c:v>18711.702</c:v>
                </c:pt>
                <c:pt idx="74">
                  <c:v>18892.639</c:v>
                </c:pt>
                <c:pt idx="75">
                  <c:v>19089.379</c:v>
                </c:pt>
                <c:pt idx="76">
                  <c:v>19280.084</c:v>
                </c:pt>
                <c:pt idx="77">
                  <c:v>19438.643</c:v>
                </c:pt>
                <c:pt idx="78">
                  <c:v>19692.595</c:v>
                </c:pt>
                <c:pt idx="79">
                  <c:v>20037.088</c:v>
                </c:pt>
                <c:pt idx="80">
                  <c:v>20328.553</c:v>
                </c:pt>
                <c:pt idx="81">
                  <c:v>20580.912</c:v>
                </c:pt>
                <c:pt idx="82">
                  <c:v>20798.73</c:v>
                </c:pt>
                <c:pt idx="83">
                  <c:v>20917.867</c:v>
                </c:pt>
                <c:pt idx="84">
                  <c:v>21111.6</c:v>
                </c:pt>
                <c:pt idx="85">
                  <c:v>21397.938</c:v>
                </c:pt>
                <c:pt idx="86">
                  <c:v>21717.171</c:v>
                </c:pt>
                <c:pt idx="87">
                  <c:v>21933.217</c:v>
                </c:pt>
                <c:pt idx="88">
                  <c:v>21751.238</c:v>
                </c:pt>
                <c:pt idx="89">
                  <c:v>19958.291</c:v>
                </c:pt>
                <c:pt idx="90">
                  <c:v>21704.437</c:v>
                </c:pt>
                <c:pt idx="91">
                  <c:v>22087.16</c:v>
                </c:pt>
                <c:pt idx="92">
                  <c:v>22680.693</c:v>
                </c:pt>
                <c:pt idx="93">
                  <c:v>23425.91</c:v>
                </c:pt>
                <c:pt idx="94">
                  <c:v>23982.379</c:v>
                </c:pt>
                <c:pt idx="95">
                  <c:v>24813.6</c:v>
                </c:pt>
                <c:pt idx="96">
                  <c:v>25250.347</c:v>
                </c:pt>
                <c:pt idx="97">
                  <c:v>25861.292</c:v>
                </c:pt>
                <c:pt idx="98">
                  <c:v>26336.304</c:v>
                </c:pt>
                <c:pt idx="99">
                  <c:v>26770.514</c:v>
                </c:pt>
                <c:pt idx="100">
                  <c:v>27216.445</c:v>
                </c:pt>
                <c:pt idx="101">
                  <c:v>27530.055</c:v>
                </c:pt>
                <c:pt idx="102">
                  <c:v>28074.846</c:v>
                </c:pt>
                <c:pt idx="103">
                  <c:v>28424.722</c:v>
                </c:pt>
                <c:pt idx="104">
                  <c:v>28708.161</c:v>
                </c:pt>
                <c:pt idx="105">
                  <c:v>29147.044</c:v>
                </c:pt>
                <c:pt idx="106">
                  <c:v>29511.664</c:v>
                </c:pt>
                <c:pt idx="107">
                  <c:v>29825.182</c:v>
                </c:pt>
                <c:pt idx="108">
                  <c:v>30042.113</c:v>
                </c:pt>
                <c:pt idx="109">
                  <c:v>30485.729</c:v>
                </c:pt>
                <c:pt idx="110">
                  <c:v>31098.027</c:v>
                </c:pt>
                <c:pt idx="111">
                  <c:v>31422.526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24895"/>
        <c:axId val="69994634"/>
      </c:lineChart>
      <c:catAx>
        <c:axId val="2012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94634"/>
        <c:crosses val="autoZero"/>
        <c:auto val="1"/>
        <c:lblAlgn val="ctr"/>
        <c:lblOffset val="100"/>
        <c:noMultiLvlLbl val="0"/>
      </c:catAx>
      <c:valAx>
        <c:axId val="69994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24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federal receipts (FGRECPT)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Raw Data'!C3</c:f>
              <c:strCache>
                <c:ptCount val="1"/>
                <c:pt idx="0">
                  <c:v>FGRECPT receipts ($bn, SAAR)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Data'!$C$4:$C$115</c:f>
              <c:numCache>
                <c:formatCode>#,##0</c:formatCode>
                <c:ptCount val="112"/>
                <c:pt idx="1">
                  <c:v>1771.548</c:v>
                </c:pt>
                <c:pt idx="2">
                  <c:v>1808.447</c:v>
                </c:pt>
                <c:pt idx="3">
                  <c:v>1835.085</c:v>
                </c:pt>
                <c:pt idx="4">
                  <c:v>1860.002</c:v>
                </c:pt>
                <c:pt idx="5">
                  <c:v>1885.184</c:v>
                </c:pt>
                <c:pt idx="6">
                  <c:v>1914.862</c:v>
                </c:pt>
                <c:pt idx="7">
                  <c:v>1963.756</c:v>
                </c:pt>
                <c:pt idx="8">
                  <c:v>2041.764</c:v>
                </c:pt>
                <c:pt idx="9">
                  <c:v>2056.279</c:v>
                </c:pt>
                <c:pt idx="10">
                  <c:v>2076.268</c:v>
                </c:pt>
                <c:pt idx="11">
                  <c:v>2096.796</c:v>
                </c:pt>
                <c:pt idx="12">
                  <c:v>2111.058</c:v>
                </c:pt>
                <c:pt idx="13">
                  <c:v>2098.359</c:v>
                </c:pt>
                <c:pt idx="14">
                  <c:v>1907.679</c:v>
                </c:pt>
                <c:pt idx="15">
                  <c:v>2012.375</c:v>
                </c:pt>
                <c:pt idx="16">
                  <c:v>1865.637</c:v>
                </c:pt>
                <c:pt idx="17">
                  <c:v>1868.032</c:v>
                </c:pt>
                <c:pt idx="18">
                  <c:v>1869.778</c:v>
                </c:pt>
                <c:pt idx="19">
                  <c:v>1880.098</c:v>
                </c:pt>
                <c:pt idx="20">
                  <c:v>1889.816</c:v>
                </c:pt>
                <c:pt idx="21">
                  <c:v>1912.664</c:v>
                </c:pt>
                <c:pt idx="22">
                  <c:v>1840.186</c:v>
                </c:pt>
                <c:pt idx="23">
                  <c:v>1941.796</c:v>
                </c:pt>
                <c:pt idx="24">
                  <c:v>1952.066</c:v>
                </c:pt>
                <c:pt idx="25">
                  <c:v>2003.483</c:v>
                </c:pt>
                <c:pt idx="26">
                  <c:v>2062.813</c:v>
                </c:pt>
                <c:pt idx="27">
                  <c:v>2093.96</c:v>
                </c:pt>
                <c:pt idx="28">
                  <c:v>2242.79</c:v>
                </c:pt>
                <c:pt idx="29">
                  <c:v>2272.008</c:v>
                </c:pt>
                <c:pt idx="30">
                  <c:v>2316.739</c:v>
                </c:pt>
                <c:pt idx="31">
                  <c:v>2387.286</c:v>
                </c:pt>
                <c:pt idx="32">
                  <c:v>2482.895</c:v>
                </c:pt>
                <c:pt idx="33">
                  <c:v>2518.505</c:v>
                </c:pt>
                <c:pt idx="34">
                  <c:v>2562.861</c:v>
                </c:pt>
                <c:pt idx="35">
                  <c:v>2590.85</c:v>
                </c:pt>
                <c:pt idx="36">
                  <c:v>2659.486</c:v>
                </c:pt>
                <c:pt idx="37">
                  <c:v>2674.206</c:v>
                </c:pt>
                <c:pt idx="38">
                  <c:v>2666.732</c:v>
                </c:pt>
                <c:pt idx="39">
                  <c:v>2672.884</c:v>
                </c:pt>
                <c:pt idx="40">
                  <c:v>2638.949</c:v>
                </c:pt>
                <c:pt idx="41">
                  <c:v>2621.006</c:v>
                </c:pt>
                <c:pt idx="42">
                  <c:v>2574.57</c:v>
                </c:pt>
                <c:pt idx="43">
                  <c:v>2493.677</c:v>
                </c:pt>
                <c:pt idx="44">
                  <c:v>2222.444</c:v>
                </c:pt>
                <c:pt idx="45">
                  <c:v>2223.824</c:v>
                </c:pt>
                <c:pt idx="46">
                  <c:v>2225.501</c:v>
                </c:pt>
                <c:pt idx="47">
                  <c:v>2296.492</c:v>
                </c:pt>
                <c:pt idx="48">
                  <c:v>2366.132</c:v>
                </c:pt>
                <c:pt idx="49">
                  <c:v>2420.673</c:v>
                </c:pt>
                <c:pt idx="50">
                  <c:v>2483.29</c:v>
                </c:pt>
                <c:pt idx="51">
                  <c:v>2514.962</c:v>
                </c:pt>
                <c:pt idx="52">
                  <c:v>2566.855</c:v>
                </c:pt>
                <c:pt idx="53">
                  <c:v>2574.972</c:v>
                </c:pt>
                <c:pt idx="54">
                  <c:v>2565.373</c:v>
                </c:pt>
                <c:pt idx="55">
                  <c:v>2587.239</c:v>
                </c:pt>
                <c:pt idx="56">
                  <c:v>2663.949</c:v>
                </c:pt>
                <c:pt idx="57">
                  <c:v>2679.747</c:v>
                </c:pt>
                <c:pt idx="58">
                  <c:v>2690.555</c:v>
                </c:pt>
                <c:pt idx="59">
                  <c:v>2769.018</c:v>
                </c:pt>
                <c:pt idx="60">
                  <c:v>2984.538</c:v>
                </c:pt>
                <c:pt idx="61">
                  <c:v>3244.746</c:v>
                </c:pt>
                <c:pt idx="62">
                  <c:v>3070.329</c:v>
                </c:pt>
                <c:pt idx="63">
                  <c:v>3245.665</c:v>
                </c:pt>
                <c:pt idx="64">
                  <c:v>3262.838</c:v>
                </c:pt>
                <c:pt idx="65">
                  <c:v>3295.831</c:v>
                </c:pt>
                <c:pt idx="66">
                  <c:v>3303.698</c:v>
                </c:pt>
                <c:pt idx="67">
                  <c:v>3315.298</c:v>
                </c:pt>
                <c:pt idx="68">
                  <c:v>3391.529</c:v>
                </c:pt>
                <c:pt idx="69">
                  <c:v>3445.401</c:v>
                </c:pt>
                <c:pt idx="70">
                  <c:v>3446.663</c:v>
                </c:pt>
                <c:pt idx="71">
                  <c:v>3509.95</c:v>
                </c:pt>
                <c:pt idx="72">
                  <c:v>3445.531</c:v>
                </c:pt>
                <c:pt idx="73">
                  <c:v>3447.085</c:v>
                </c:pt>
                <c:pt idx="74">
                  <c:v>3468.731</c:v>
                </c:pt>
                <c:pt idx="75">
                  <c:v>3481.343</c:v>
                </c:pt>
                <c:pt idx="76">
                  <c:v>3482.184</c:v>
                </c:pt>
                <c:pt idx="77">
                  <c:v>3467.749</c:v>
                </c:pt>
                <c:pt idx="78">
                  <c:v>3512.179</c:v>
                </c:pt>
                <c:pt idx="79">
                  <c:v>3552.878</c:v>
                </c:pt>
                <c:pt idx="80">
                  <c:v>3514.225</c:v>
                </c:pt>
                <c:pt idx="81">
                  <c:v>3552.722</c:v>
                </c:pt>
                <c:pt idx="82">
                  <c:v>3632.415</c:v>
                </c:pt>
                <c:pt idx="83">
                  <c:v>3633.016</c:v>
                </c:pt>
                <c:pt idx="84">
                  <c:v>3652.348</c:v>
                </c:pt>
                <c:pt idx="85">
                  <c:v>3679.518</c:v>
                </c:pt>
                <c:pt idx="86">
                  <c:v>3708.594</c:v>
                </c:pt>
                <c:pt idx="87">
                  <c:v>3776.86</c:v>
                </c:pt>
                <c:pt idx="88">
                  <c:v>3791.218</c:v>
                </c:pt>
                <c:pt idx="89">
                  <c:v>3534.511</c:v>
                </c:pt>
                <c:pt idx="90">
                  <c:v>3797.575</c:v>
                </c:pt>
                <c:pt idx="91">
                  <c:v>3943.357</c:v>
                </c:pt>
                <c:pt idx="92">
                  <c:v>4135.342</c:v>
                </c:pt>
                <c:pt idx="93">
                  <c:v>4368.834</c:v>
                </c:pt>
                <c:pt idx="94">
                  <c:v>4523.14</c:v>
                </c:pt>
                <c:pt idx="95">
                  <c:v>4689.041</c:v>
                </c:pt>
                <c:pt idx="96">
                  <c:v>5075.112</c:v>
                </c:pt>
                <c:pt idx="97">
                  <c:v>5134.788</c:v>
                </c:pt>
                <c:pt idx="98">
                  <c:v>5149.418</c:v>
                </c:pt>
                <c:pt idx="99">
                  <c:v>5102.764</c:v>
                </c:pt>
                <c:pt idx="100">
                  <c:v>4751.995</c:v>
                </c:pt>
                <c:pt idx="101">
                  <c:v>4769.417</c:v>
                </c:pt>
                <c:pt idx="102">
                  <c:v>4835.547</c:v>
                </c:pt>
                <c:pt idx="103">
                  <c:v>4926.546</c:v>
                </c:pt>
                <c:pt idx="104">
                  <c:v>5045.84</c:v>
                </c:pt>
                <c:pt idx="105">
                  <c:v>5146.498</c:v>
                </c:pt>
                <c:pt idx="106">
                  <c:v>5210.115</c:v>
                </c:pt>
                <c:pt idx="107">
                  <c:v>5313.193</c:v>
                </c:pt>
                <c:pt idx="108">
                  <c:v>5392.717</c:v>
                </c:pt>
                <c:pt idx="109">
                  <c:v>5603.74</c:v>
                </c:pt>
                <c:pt idx="110">
                  <c:v>5793.596</c:v>
                </c:pt>
                <c:pt idx="111">
                  <c:v>5898.479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288581"/>
        <c:axId val="15204060"/>
      </c:lineChart>
      <c:catAx>
        <c:axId val="11288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04060"/>
        <c:crosses val="autoZero"/>
        <c:auto val="1"/>
        <c:lblAlgn val="ctr"/>
        <c:lblOffset val="100"/>
        <c:noMultiLvlLbl val="0"/>
      </c:catAx>
      <c:valAx>
        <c:axId val="15204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88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federal expenditure (FGEXPND)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Raw Data'!D3</c:f>
              <c:strCache>
                <c:ptCount val="1"/>
                <c:pt idx="0">
                  <c:v>FGEXPND expenditure ($bn, SAAR)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Data'!$D$4:$D$115</c:f>
              <c:numCache>
                <c:formatCode>#,##0</c:formatCode>
                <c:ptCount val="112"/>
                <c:pt idx="1">
                  <c:v>1781.911</c:v>
                </c:pt>
                <c:pt idx="2">
                  <c:v>1788.538</c:v>
                </c:pt>
                <c:pt idx="3">
                  <c:v>1814.518</c:v>
                </c:pt>
                <c:pt idx="4">
                  <c:v>1811.988</c:v>
                </c:pt>
                <c:pt idx="5">
                  <c:v>1816.961</c:v>
                </c:pt>
                <c:pt idx="6">
                  <c:v>1843.205</c:v>
                </c:pt>
                <c:pt idx="7">
                  <c:v>1875.154</c:v>
                </c:pt>
                <c:pt idx="8">
                  <c:v>1866.308</c:v>
                </c:pt>
                <c:pt idx="9">
                  <c:v>1908.645</c:v>
                </c:pt>
                <c:pt idx="10">
                  <c:v>1918.617</c:v>
                </c:pt>
                <c:pt idx="11">
                  <c:v>1938.796</c:v>
                </c:pt>
                <c:pt idx="12">
                  <c:v>1982.626</c:v>
                </c:pt>
                <c:pt idx="13">
                  <c:v>2003.581</c:v>
                </c:pt>
                <c:pt idx="14">
                  <c:v>2037.703</c:v>
                </c:pt>
                <c:pt idx="15">
                  <c:v>2045.404</c:v>
                </c:pt>
                <c:pt idx="16">
                  <c:v>2091.469</c:v>
                </c:pt>
                <c:pt idx="17">
                  <c:v>2130.186</c:v>
                </c:pt>
                <c:pt idx="18">
                  <c:v>2148.447</c:v>
                </c:pt>
                <c:pt idx="19">
                  <c:v>2184.697</c:v>
                </c:pt>
                <c:pt idx="20">
                  <c:v>2220.262</c:v>
                </c:pt>
                <c:pt idx="21">
                  <c:v>2299.919</c:v>
                </c:pt>
                <c:pt idx="22">
                  <c:v>2309.622</c:v>
                </c:pt>
                <c:pt idx="23">
                  <c:v>2344.18</c:v>
                </c:pt>
                <c:pt idx="24">
                  <c:v>2381.04</c:v>
                </c:pt>
                <c:pt idx="25">
                  <c:v>2400.4</c:v>
                </c:pt>
                <c:pt idx="26">
                  <c:v>2428.795</c:v>
                </c:pt>
                <c:pt idx="27">
                  <c:v>2476.05</c:v>
                </c:pt>
                <c:pt idx="28">
                  <c:v>2548.019</c:v>
                </c:pt>
                <c:pt idx="29">
                  <c:v>2578.686</c:v>
                </c:pt>
                <c:pt idx="30">
                  <c:v>2617.33</c:v>
                </c:pt>
                <c:pt idx="31">
                  <c:v>2649.819</c:v>
                </c:pt>
                <c:pt idx="32">
                  <c:v>2728.184</c:v>
                </c:pt>
                <c:pt idx="33">
                  <c:v>2749.085</c:v>
                </c:pt>
                <c:pt idx="34">
                  <c:v>2775.712</c:v>
                </c:pt>
                <c:pt idx="35">
                  <c:v>2789.906</c:v>
                </c:pt>
                <c:pt idx="36">
                  <c:v>2869.326</c:v>
                </c:pt>
                <c:pt idx="37">
                  <c:v>2905.202</c:v>
                </c:pt>
                <c:pt idx="38">
                  <c:v>2945.721</c:v>
                </c:pt>
                <c:pt idx="39">
                  <c:v>2991.765</c:v>
                </c:pt>
                <c:pt idx="40">
                  <c:v>3043.522</c:v>
                </c:pt>
                <c:pt idx="41">
                  <c:v>3397.452</c:v>
                </c:pt>
                <c:pt idx="42">
                  <c:v>3194.11</c:v>
                </c:pt>
                <c:pt idx="43">
                  <c:v>3192.866</c:v>
                </c:pt>
                <c:pt idx="44">
                  <c:v>3322.767</c:v>
                </c:pt>
                <c:pt idx="45">
                  <c:v>3524.671</c:v>
                </c:pt>
                <c:pt idx="46">
                  <c:v>3532.903</c:v>
                </c:pt>
                <c:pt idx="47">
                  <c:v>3560.619</c:v>
                </c:pt>
                <c:pt idx="48">
                  <c:v>3710.548</c:v>
                </c:pt>
                <c:pt idx="49">
                  <c:v>3745.711</c:v>
                </c:pt>
                <c:pt idx="50">
                  <c:v>3792.438</c:v>
                </c:pt>
                <c:pt idx="51">
                  <c:v>3809.804</c:v>
                </c:pt>
                <c:pt idx="52">
                  <c:v>3811.263</c:v>
                </c:pt>
                <c:pt idx="53">
                  <c:v>3849.377</c:v>
                </c:pt>
                <c:pt idx="54">
                  <c:v>3783.833</c:v>
                </c:pt>
                <c:pt idx="55">
                  <c:v>3786.528</c:v>
                </c:pt>
                <c:pt idx="56">
                  <c:v>3774.344</c:v>
                </c:pt>
                <c:pt idx="57">
                  <c:v>3772.867</c:v>
                </c:pt>
                <c:pt idx="58">
                  <c:v>3777.299</c:v>
                </c:pt>
                <c:pt idx="59">
                  <c:v>3769.503</c:v>
                </c:pt>
                <c:pt idx="60">
                  <c:v>3758.798</c:v>
                </c:pt>
                <c:pt idx="61">
                  <c:v>3776.035</c:v>
                </c:pt>
                <c:pt idx="62">
                  <c:v>3773.724</c:v>
                </c:pt>
                <c:pt idx="63">
                  <c:v>3772.463</c:v>
                </c:pt>
                <c:pt idx="64">
                  <c:v>3819.402</c:v>
                </c:pt>
                <c:pt idx="65">
                  <c:v>3876.072</c:v>
                </c:pt>
                <c:pt idx="66">
                  <c:v>3931.623</c:v>
                </c:pt>
                <c:pt idx="67">
                  <c:v>3926.651</c:v>
                </c:pt>
                <c:pt idx="68">
                  <c:v>3970.21</c:v>
                </c:pt>
                <c:pt idx="69">
                  <c:v>3990.778</c:v>
                </c:pt>
                <c:pt idx="70">
                  <c:v>4011.91</c:v>
                </c:pt>
                <c:pt idx="71">
                  <c:v>4050.403</c:v>
                </c:pt>
                <c:pt idx="72">
                  <c:v>4084.292</c:v>
                </c:pt>
                <c:pt idx="73">
                  <c:v>4101.647</c:v>
                </c:pt>
                <c:pt idx="74">
                  <c:v>4150.5</c:v>
                </c:pt>
                <c:pt idx="75">
                  <c:v>4175.46</c:v>
                </c:pt>
                <c:pt idx="76">
                  <c:v>4192.262</c:v>
                </c:pt>
                <c:pt idx="77">
                  <c:v>4195.549</c:v>
                </c:pt>
                <c:pt idx="78">
                  <c:v>4253.985</c:v>
                </c:pt>
                <c:pt idx="79">
                  <c:v>4320.383</c:v>
                </c:pt>
                <c:pt idx="80">
                  <c:v>4398.501</c:v>
                </c:pt>
                <c:pt idx="81">
                  <c:v>4453.783</c:v>
                </c:pt>
                <c:pt idx="82">
                  <c:v>4512.225</c:v>
                </c:pt>
                <c:pt idx="83">
                  <c:v>4593.407</c:v>
                </c:pt>
                <c:pt idx="84">
                  <c:v>4687.997</c:v>
                </c:pt>
                <c:pt idx="85">
                  <c:v>4734.95</c:v>
                </c:pt>
                <c:pt idx="86">
                  <c:v>4773.268</c:v>
                </c:pt>
                <c:pt idx="87">
                  <c:v>4796.274</c:v>
                </c:pt>
                <c:pt idx="88">
                  <c:v>4866.623</c:v>
                </c:pt>
                <c:pt idx="89">
                  <c:v>8891.373</c:v>
                </c:pt>
                <c:pt idx="90">
                  <c:v>7174.111</c:v>
                </c:pt>
                <c:pt idx="91">
                  <c:v>5928.343</c:v>
                </c:pt>
                <c:pt idx="92">
                  <c:v>8346.291</c:v>
                </c:pt>
                <c:pt idx="93">
                  <c:v>7754.325</c:v>
                </c:pt>
                <c:pt idx="94">
                  <c:v>6795.61</c:v>
                </c:pt>
                <c:pt idx="95">
                  <c:v>6240.006</c:v>
                </c:pt>
                <c:pt idx="96">
                  <c:v>6002.815</c:v>
                </c:pt>
                <c:pt idx="97">
                  <c:v>6079.675</c:v>
                </c:pt>
                <c:pt idx="98">
                  <c:v>6178.737</c:v>
                </c:pt>
                <c:pt idx="99">
                  <c:v>6318.34</c:v>
                </c:pt>
                <c:pt idx="100">
                  <c:v>6433.6</c:v>
                </c:pt>
                <c:pt idx="101">
                  <c:v>6491.697</c:v>
                </c:pt>
                <c:pt idx="102">
                  <c:v>6558.635</c:v>
                </c:pt>
                <c:pt idx="103">
                  <c:v>6668.128</c:v>
                </c:pt>
                <c:pt idx="104">
                  <c:v>6846.123</c:v>
                </c:pt>
                <c:pt idx="105">
                  <c:v>6954.021</c:v>
                </c:pt>
                <c:pt idx="106">
                  <c:v>7165.663</c:v>
                </c:pt>
                <c:pt idx="107">
                  <c:v>7247.662</c:v>
                </c:pt>
                <c:pt idx="108">
                  <c:v>7313.597</c:v>
                </c:pt>
                <c:pt idx="109">
                  <c:v>7496.339</c:v>
                </c:pt>
                <c:pt idx="110">
                  <c:v>7580.229</c:v>
                </c:pt>
                <c:pt idx="111">
                  <c:v>7583.663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168350"/>
        <c:axId val="79771848"/>
      </c:lineChart>
      <c:catAx>
        <c:axId val="24168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71848"/>
        <c:crosses val="autoZero"/>
        <c:auto val="1"/>
        <c:lblAlgn val="ctr"/>
        <c:lblOffset val="100"/>
        <c:noMultiLvlLbl val="0"/>
      </c:catAx>
      <c:valAx>
        <c:axId val="79771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8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federal net interest (A091)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Raw Data'!E3</c:f>
              <c:strCache>
                <c:ptCount val="1"/>
                <c:pt idx="0">
                  <c:v>A091 net interest ($bn, SAAR)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Data'!$E$4:$E$115</c:f>
              <c:numCache>
                <c:formatCode>#,##0</c:formatCode>
                <c:ptCount val="112"/>
                <c:pt idx="1">
                  <c:v>367.648</c:v>
                </c:pt>
                <c:pt idx="2">
                  <c:v>366.204</c:v>
                </c:pt>
                <c:pt idx="3">
                  <c:v>360.088</c:v>
                </c:pt>
                <c:pt idx="4">
                  <c:v>352.596</c:v>
                </c:pt>
                <c:pt idx="5">
                  <c:v>352.141</c:v>
                </c:pt>
                <c:pt idx="6">
                  <c:v>351.073</c:v>
                </c:pt>
                <c:pt idx="7">
                  <c:v>352.925</c:v>
                </c:pt>
                <c:pt idx="8">
                  <c:v>354.822</c:v>
                </c:pt>
                <c:pt idx="9">
                  <c:v>354.109</c:v>
                </c:pt>
                <c:pt idx="10">
                  <c:v>352.877</c:v>
                </c:pt>
                <c:pt idx="11">
                  <c:v>353.105</c:v>
                </c:pt>
                <c:pt idx="12">
                  <c:v>345.479</c:v>
                </c:pt>
                <c:pt idx="13">
                  <c:v>334.776</c:v>
                </c:pt>
                <c:pt idx="14">
                  <c:v>326.826</c:v>
                </c:pt>
                <c:pt idx="15">
                  <c:v>317.821</c:v>
                </c:pt>
                <c:pt idx="16">
                  <c:v>304.931</c:v>
                </c:pt>
                <c:pt idx="17">
                  <c:v>301.958</c:v>
                </c:pt>
                <c:pt idx="18">
                  <c:v>300.19</c:v>
                </c:pt>
                <c:pt idx="19">
                  <c:v>298.006</c:v>
                </c:pt>
                <c:pt idx="20">
                  <c:v>290.794</c:v>
                </c:pt>
                <c:pt idx="21">
                  <c:v>290.322</c:v>
                </c:pt>
                <c:pt idx="22">
                  <c:v>291.659</c:v>
                </c:pt>
                <c:pt idx="23">
                  <c:v>294.108</c:v>
                </c:pt>
                <c:pt idx="24">
                  <c:v>297.882</c:v>
                </c:pt>
                <c:pt idx="25">
                  <c:v>299.661</c:v>
                </c:pt>
                <c:pt idx="26">
                  <c:v>308.159</c:v>
                </c:pt>
                <c:pt idx="27">
                  <c:v>318.386</c:v>
                </c:pt>
                <c:pt idx="28">
                  <c:v>329.407</c:v>
                </c:pt>
                <c:pt idx="29">
                  <c:v>343.582</c:v>
                </c:pt>
                <c:pt idx="30">
                  <c:v>349.228</c:v>
                </c:pt>
                <c:pt idx="31">
                  <c:v>355.282</c:v>
                </c:pt>
                <c:pt idx="32">
                  <c:v>358.209</c:v>
                </c:pt>
                <c:pt idx="33">
                  <c:v>367.415</c:v>
                </c:pt>
                <c:pt idx="34">
                  <c:v>376.299</c:v>
                </c:pt>
                <c:pt idx="35">
                  <c:v>386.925</c:v>
                </c:pt>
                <c:pt idx="36">
                  <c:v>396.009</c:v>
                </c:pt>
                <c:pt idx="37">
                  <c:v>407.914</c:v>
                </c:pt>
                <c:pt idx="38">
                  <c:v>414.164</c:v>
                </c:pt>
                <c:pt idx="39">
                  <c:v>413.825</c:v>
                </c:pt>
                <c:pt idx="40">
                  <c:v>403.473</c:v>
                </c:pt>
                <c:pt idx="41">
                  <c:v>388.351</c:v>
                </c:pt>
                <c:pt idx="42">
                  <c:v>382.152</c:v>
                </c:pt>
                <c:pt idx="43">
                  <c:v>379.614</c:v>
                </c:pt>
                <c:pt idx="44">
                  <c:v>361.869</c:v>
                </c:pt>
                <c:pt idx="45">
                  <c:v>352.134</c:v>
                </c:pt>
                <c:pt idx="46">
                  <c:v>350.317</c:v>
                </c:pt>
                <c:pt idx="47">
                  <c:v>353.811</c:v>
                </c:pt>
                <c:pt idx="48">
                  <c:v>360.258</c:v>
                </c:pt>
                <c:pt idx="49">
                  <c:v>376.93</c:v>
                </c:pt>
                <c:pt idx="50">
                  <c:v>389.247</c:v>
                </c:pt>
                <c:pt idx="51">
                  <c:v>399.514</c:v>
                </c:pt>
                <c:pt idx="52">
                  <c:v>410.805</c:v>
                </c:pt>
                <c:pt idx="53">
                  <c:v>424.987</c:v>
                </c:pt>
                <c:pt idx="54">
                  <c:v>432.625</c:v>
                </c:pt>
                <c:pt idx="55">
                  <c:v>433.35</c:v>
                </c:pt>
                <c:pt idx="56">
                  <c:v>428.343</c:v>
                </c:pt>
                <c:pt idx="57">
                  <c:v>424.345</c:v>
                </c:pt>
                <c:pt idx="58">
                  <c:v>420.974</c:v>
                </c:pt>
                <c:pt idx="59">
                  <c:v>416.834</c:v>
                </c:pt>
                <c:pt idx="60">
                  <c:v>411.052</c:v>
                </c:pt>
                <c:pt idx="61">
                  <c:v>412.508</c:v>
                </c:pt>
                <c:pt idx="62">
                  <c:v>416.742</c:v>
                </c:pt>
                <c:pt idx="63">
                  <c:v>425.001</c:v>
                </c:pt>
                <c:pt idx="64">
                  <c:v>431.952</c:v>
                </c:pt>
                <c:pt idx="65">
                  <c:v>440.027</c:v>
                </c:pt>
                <c:pt idx="66">
                  <c:v>442.107</c:v>
                </c:pt>
                <c:pt idx="67">
                  <c:v>442.283</c:v>
                </c:pt>
                <c:pt idx="68">
                  <c:v>428.689</c:v>
                </c:pt>
                <c:pt idx="69">
                  <c:v>425.877</c:v>
                </c:pt>
                <c:pt idx="70">
                  <c:v>427.881</c:v>
                </c:pt>
                <c:pt idx="71">
                  <c:v>434.682</c:v>
                </c:pt>
                <c:pt idx="72">
                  <c:v>446.225</c:v>
                </c:pt>
                <c:pt idx="73">
                  <c:v>453.291</c:v>
                </c:pt>
                <c:pt idx="74">
                  <c:v>457.514</c:v>
                </c:pt>
                <c:pt idx="75">
                  <c:v>460.184</c:v>
                </c:pt>
                <c:pt idx="76">
                  <c:v>460.669</c:v>
                </c:pt>
                <c:pt idx="77">
                  <c:v>471.214</c:v>
                </c:pt>
                <c:pt idx="78">
                  <c:v>481.457</c:v>
                </c:pt>
                <c:pt idx="79">
                  <c:v>493.441</c:v>
                </c:pt>
                <c:pt idx="80">
                  <c:v>507.619</c:v>
                </c:pt>
                <c:pt idx="81">
                  <c:v>531.778</c:v>
                </c:pt>
                <c:pt idx="82">
                  <c:v>551.891</c:v>
                </c:pt>
                <c:pt idx="83">
                  <c:v>571.229</c:v>
                </c:pt>
                <c:pt idx="84">
                  <c:v>579.714</c:v>
                </c:pt>
                <c:pt idx="85">
                  <c:v>586.409</c:v>
                </c:pt>
                <c:pt idx="86">
                  <c:v>578.256</c:v>
                </c:pt>
                <c:pt idx="87">
                  <c:v>564.241</c:v>
                </c:pt>
                <c:pt idx="88">
                  <c:v>544.122</c:v>
                </c:pt>
                <c:pt idx="89">
                  <c:v>514.737</c:v>
                </c:pt>
                <c:pt idx="90">
                  <c:v>508.011</c:v>
                </c:pt>
                <c:pt idx="91">
                  <c:v>516.711</c:v>
                </c:pt>
                <c:pt idx="92">
                  <c:v>533.518</c:v>
                </c:pt>
                <c:pt idx="93">
                  <c:v>560.634</c:v>
                </c:pt>
                <c:pt idx="94">
                  <c:v>587.92</c:v>
                </c:pt>
                <c:pt idx="95">
                  <c:v>612.282</c:v>
                </c:pt>
                <c:pt idx="96">
                  <c:v>636.968</c:v>
                </c:pt>
                <c:pt idx="97">
                  <c:v>684.758</c:v>
                </c:pt>
                <c:pt idx="98">
                  <c:v>752.081</c:v>
                </c:pt>
                <c:pt idx="99">
                  <c:v>823.106</c:v>
                </c:pt>
                <c:pt idx="100">
                  <c:v>861.267</c:v>
                </c:pt>
                <c:pt idx="101">
                  <c:v>894.106</c:v>
                </c:pt>
                <c:pt idx="102">
                  <c:v>966.899</c:v>
                </c:pt>
                <c:pt idx="103">
                  <c:v>1031.478</c:v>
                </c:pt>
                <c:pt idx="104">
                  <c:v>1071.174</c:v>
                </c:pt>
                <c:pt idx="105">
                  <c:v>1103.565</c:v>
                </c:pt>
                <c:pt idx="106">
                  <c:v>1146.182</c:v>
                </c:pt>
                <c:pt idx="107">
                  <c:v>1155.616</c:v>
                </c:pt>
                <c:pt idx="108">
                  <c:v>1144.212</c:v>
                </c:pt>
                <c:pt idx="109">
                  <c:v>1160.9</c:v>
                </c:pt>
                <c:pt idx="110">
                  <c:v>1199.189</c:v>
                </c:pt>
                <c:pt idx="111">
                  <c:v>1227.495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955696"/>
        <c:axId val="97272274"/>
      </c:lineChart>
      <c:catAx>
        <c:axId val="9595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72274"/>
        <c:crosses val="autoZero"/>
        <c:auto val="1"/>
        <c:lblAlgn val="ctr"/>
        <c:lblOffset val="100"/>
        <c:noMultiLvlLbl val="0"/>
      </c:catAx>
      <c:valAx>
        <c:axId val="97272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55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gross federal debt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Raw Data'!F3</c:f>
              <c:strCache>
                <c:ptCount val="1"/>
                <c:pt idx="0">
                  <c:v>GFDEGDQ188S gross debt (% of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Data'!$F$4:$F$115</c:f>
              <c:numCache>
                <c:formatCode>0.0000</c:formatCode>
                <c:ptCount val="112"/>
                <c:pt idx="1">
                  <c:v>61.85196</c:v>
                </c:pt>
                <c:pt idx="2">
                  <c:v>60.58693</c:v>
                </c:pt>
                <c:pt idx="3">
                  <c:v>60.40696</c:v>
                </c:pt>
                <c:pt idx="4">
                  <c:v>60.04894</c:v>
                </c:pt>
                <c:pt idx="5">
                  <c:v>59.19227</c:v>
                </c:pt>
                <c:pt idx="6">
                  <c:v>58.39258</c:v>
                </c:pt>
                <c:pt idx="7">
                  <c:v>58.34336</c:v>
                </c:pt>
                <c:pt idx="8">
                  <c:v>57.72134</c:v>
                </c:pt>
                <c:pt idx="9">
                  <c:v>55.48491</c:v>
                </c:pt>
                <c:pt idx="10">
                  <c:v>54.99213</c:v>
                </c:pt>
                <c:pt idx="11">
                  <c:v>54.2579</c:v>
                </c:pt>
                <c:pt idx="12">
                  <c:v>55.14434</c:v>
                </c:pt>
                <c:pt idx="13">
                  <c:v>54.03165</c:v>
                </c:pt>
                <c:pt idx="14">
                  <c:v>54.79763</c:v>
                </c:pt>
                <c:pt idx="15">
                  <c:v>55.75216</c:v>
                </c:pt>
                <c:pt idx="16">
                  <c:v>55.6965</c:v>
                </c:pt>
                <c:pt idx="17">
                  <c:v>56.27087</c:v>
                </c:pt>
                <c:pt idx="18">
                  <c:v>56.7026</c:v>
                </c:pt>
                <c:pt idx="19">
                  <c:v>57.91028</c:v>
                </c:pt>
                <c:pt idx="20">
                  <c:v>57.81906</c:v>
                </c:pt>
                <c:pt idx="21">
                  <c:v>58.96101</c:v>
                </c:pt>
                <c:pt idx="22">
                  <c:v>58.64541</c:v>
                </c:pt>
                <c:pt idx="23">
                  <c:v>59.44466</c:v>
                </c:pt>
                <c:pt idx="24">
                  <c:v>59.8071</c:v>
                </c:pt>
                <c:pt idx="25">
                  <c:v>60.05487</c:v>
                </c:pt>
                <c:pt idx="26">
                  <c:v>59.96643</c:v>
                </c:pt>
                <c:pt idx="27">
                  <c:v>60.63713</c:v>
                </c:pt>
                <c:pt idx="28">
                  <c:v>60.91302</c:v>
                </c:pt>
                <c:pt idx="29">
                  <c:v>60.64153</c:v>
                </c:pt>
                <c:pt idx="30">
                  <c:v>60.35856</c:v>
                </c:pt>
                <c:pt idx="31">
                  <c:v>61.32008</c:v>
                </c:pt>
                <c:pt idx="32">
                  <c:v>61.55642</c:v>
                </c:pt>
                <c:pt idx="33">
                  <c:v>61.22142</c:v>
                </c:pt>
                <c:pt idx="34">
                  <c:v>61.3328</c:v>
                </c:pt>
                <c:pt idx="35">
                  <c:v>61.82689</c:v>
                </c:pt>
                <c:pt idx="36">
                  <c:v>62.25297</c:v>
                </c:pt>
                <c:pt idx="37">
                  <c:v>61.57219</c:v>
                </c:pt>
                <c:pt idx="38">
                  <c:v>61.84826</c:v>
                </c:pt>
                <c:pt idx="39">
                  <c:v>62.71924</c:v>
                </c:pt>
                <c:pt idx="40">
                  <c:v>64.17278</c:v>
                </c:pt>
                <c:pt idx="41">
                  <c:v>63.85172</c:v>
                </c:pt>
                <c:pt idx="42">
                  <c:v>67.28455</c:v>
                </c:pt>
                <c:pt idx="43">
                  <c:v>73.24515</c:v>
                </c:pt>
                <c:pt idx="44">
                  <c:v>77.10496</c:v>
                </c:pt>
                <c:pt idx="45">
                  <c:v>80.28013</c:v>
                </c:pt>
                <c:pt idx="46">
                  <c:v>82.42733</c:v>
                </c:pt>
                <c:pt idx="47">
                  <c:v>84.02935</c:v>
                </c:pt>
                <c:pt idx="48">
                  <c:v>86.51175</c:v>
                </c:pt>
                <c:pt idx="49">
                  <c:v>88.12832</c:v>
                </c:pt>
                <c:pt idx="50">
                  <c:v>89.56528</c:v>
                </c:pt>
                <c:pt idx="51">
                  <c:v>91.61134</c:v>
                </c:pt>
                <c:pt idx="52">
                  <c:v>92.95614</c:v>
                </c:pt>
                <c:pt idx="53">
                  <c:v>92.1938</c:v>
                </c:pt>
                <c:pt idx="54">
                  <c:v>94.52098</c:v>
                </c:pt>
                <c:pt idx="55">
                  <c:v>96.09072</c:v>
                </c:pt>
                <c:pt idx="56">
                  <c:v>97.12308</c:v>
                </c:pt>
                <c:pt idx="57">
                  <c:v>97.82763</c:v>
                </c:pt>
                <c:pt idx="58">
                  <c:v>98.44787</c:v>
                </c:pt>
                <c:pt idx="59">
                  <c:v>100.07497</c:v>
                </c:pt>
                <c:pt idx="60">
                  <c:v>100.73997</c:v>
                </c:pt>
                <c:pt idx="61">
                  <c:v>100.05758</c:v>
                </c:pt>
                <c:pt idx="62">
                  <c:v>98.72797</c:v>
                </c:pt>
                <c:pt idx="63">
                  <c:v>99.79118</c:v>
                </c:pt>
                <c:pt idx="64">
                  <c:v>102.34617</c:v>
                </c:pt>
                <c:pt idx="65">
                  <c:v>100.6513</c:v>
                </c:pt>
                <c:pt idx="66">
                  <c:v>100.11145</c:v>
                </c:pt>
                <c:pt idx="67">
                  <c:v>101.2805</c:v>
                </c:pt>
                <c:pt idx="68">
                  <c:v>100.49009</c:v>
                </c:pt>
                <c:pt idx="69">
                  <c:v>99.30094</c:v>
                </c:pt>
                <c:pt idx="70">
                  <c:v>98.63595</c:v>
                </c:pt>
                <c:pt idx="71">
                  <c:v>102.64192</c:v>
                </c:pt>
                <c:pt idx="72">
                  <c:v>103.98904</c:v>
                </c:pt>
                <c:pt idx="73">
                  <c:v>103.58005</c:v>
                </c:pt>
                <c:pt idx="74">
                  <c:v>103.60355</c:v>
                </c:pt>
                <c:pt idx="75">
                  <c:v>104.64891</c:v>
                </c:pt>
                <c:pt idx="76">
                  <c:v>102.93741</c:v>
                </c:pt>
                <c:pt idx="77">
                  <c:v>102.08817</c:v>
                </c:pt>
                <c:pt idx="78">
                  <c:v>102.80463</c:v>
                </c:pt>
                <c:pt idx="79">
                  <c:v>102.27408</c:v>
                </c:pt>
                <c:pt idx="80">
                  <c:v>103.74395</c:v>
                </c:pt>
                <c:pt idx="81">
                  <c:v>102.98411</c:v>
                </c:pt>
                <c:pt idx="82">
                  <c:v>103.4489</c:v>
                </c:pt>
                <c:pt idx="83">
                  <c:v>105.04941</c:v>
                </c:pt>
                <c:pt idx="84">
                  <c:v>104.34017</c:v>
                </c:pt>
                <c:pt idx="85">
                  <c:v>102.92245</c:v>
                </c:pt>
                <c:pt idx="86">
                  <c:v>104.61492</c:v>
                </c:pt>
                <c:pt idx="87">
                  <c:v>105.78193</c:v>
                </c:pt>
                <c:pt idx="88">
                  <c:v>106.77007</c:v>
                </c:pt>
                <c:pt idx="89">
                  <c:v>132.66287</c:v>
                </c:pt>
                <c:pt idx="90">
                  <c:v>124.14692</c:v>
                </c:pt>
                <c:pt idx="91">
                  <c:v>125.62864</c:v>
                </c:pt>
                <c:pt idx="92">
                  <c:v>124.03752</c:v>
                </c:pt>
                <c:pt idx="93">
                  <c:v>121.78582</c:v>
                </c:pt>
                <c:pt idx="94">
                  <c:v>118.54086</c:v>
                </c:pt>
                <c:pt idx="95">
                  <c:v>119.3588</c:v>
                </c:pt>
                <c:pt idx="96">
                  <c:v>120.39819</c:v>
                </c:pt>
                <c:pt idx="97">
                  <c:v>118.20207</c:v>
                </c:pt>
                <c:pt idx="98">
                  <c:v>117.43832</c:v>
                </c:pt>
                <c:pt idx="99">
                  <c:v>117.36678</c:v>
                </c:pt>
                <c:pt idx="100">
                  <c:v>115.58614</c:v>
                </c:pt>
                <c:pt idx="101">
                  <c:v>117.44355</c:v>
                </c:pt>
                <c:pt idx="102">
                  <c:v>118.13897</c:v>
                </c:pt>
                <c:pt idx="103">
                  <c:v>119.61944</c:v>
                </c:pt>
                <c:pt idx="104">
                  <c:v>120.47631</c:v>
                </c:pt>
                <c:pt idx="105">
                  <c:v>119.50314</c:v>
                </c:pt>
                <c:pt idx="106">
                  <c:v>120.17172</c:v>
                </c:pt>
                <c:pt idx="107">
                  <c:v>121.43633</c:v>
                </c:pt>
                <c:pt idx="108">
                  <c:v>120.54515</c:v>
                </c:pt>
                <c:pt idx="109">
                  <c:v>118.78171</c:v>
                </c:pt>
                <c:pt idx="110">
                  <c:v>121.02875</c:v>
                </c:pt>
                <c:pt idx="111">
                  <c:v>122.56815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876462"/>
        <c:axId val="1914930"/>
      </c:lineChart>
      <c:catAx>
        <c:axId val="62876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4930"/>
        <c:crosses val="autoZero"/>
        <c:auto val="1"/>
        <c:lblAlgn val="ctr"/>
        <c:lblOffset val="100"/>
        <c:noMultiLvlLbl val="0"/>
      </c:catAx>
      <c:valAx>
        <c:axId val="1914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76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DEBT SERVICE 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Construction'!H4</c:f>
              <c:strCache>
                <c:ptCount val="1"/>
                <c:pt idx="0">
                  <c:v>DSVC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Construction'!$H$5:$H$115</c:f>
              <c:numCache>
                <c:formatCode>0.0000</c:formatCode>
                <c:ptCount val="111"/>
                <c:pt idx="1">
                  <c:v>4.08267880560987</c:v>
                </c:pt>
                <c:pt idx="2">
                  <c:v>3.94785846483159</c:v>
                </c:pt>
                <c:pt idx="3">
                  <c:v>3.79380612699109</c:v>
                </c:pt>
                <c:pt idx="4">
                  <c:v>3.7415310037037</c:v>
                </c:pt>
                <c:pt idx="5">
                  <c:v>3.68533761065523</c:v>
                </c:pt>
                <c:pt idx="6">
                  <c:v>3.64342548168991</c:v>
                </c:pt>
                <c:pt idx="7">
                  <c:v>3.58399942465629</c:v>
                </c:pt>
                <c:pt idx="8">
                  <c:v>3.54031856458478</c:v>
                </c:pt>
                <c:pt idx="9">
                  <c:v>3.44346840077598</c:v>
                </c:pt>
                <c:pt idx="10">
                  <c:v>3.42216857357873</c:v>
                </c:pt>
                <c:pt idx="11">
                  <c:v>3.31053540600459</c:v>
                </c:pt>
                <c:pt idx="12">
                  <c:v>3.19740796549761</c:v>
                </c:pt>
                <c:pt idx="13">
                  <c:v>3.08355505236343</c:v>
                </c:pt>
                <c:pt idx="14">
                  <c:v>2.99887148731556</c:v>
                </c:pt>
                <c:pt idx="15">
                  <c:v>2.86039117430619</c:v>
                </c:pt>
                <c:pt idx="16">
                  <c:v>2.8001854685399</c:v>
                </c:pt>
                <c:pt idx="17">
                  <c:v>2.75720875208726</c:v>
                </c:pt>
                <c:pt idx="18">
                  <c:v>2.71308188972364</c:v>
                </c:pt>
                <c:pt idx="19">
                  <c:v>2.62889989027642</c:v>
                </c:pt>
                <c:pt idx="20">
                  <c:v>2.59816223707459</c:v>
                </c:pt>
                <c:pt idx="21">
                  <c:v>2.57814048306135</c:v>
                </c:pt>
                <c:pt idx="22">
                  <c:v>2.54271994815448</c:v>
                </c:pt>
                <c:pt idx="23">
                  <c:v>2.53037783652619</c:v>
                </c:pt>
                <c:pt idx="24">
                  <c:v>2.51320779972436</c:v>
                </c:pt>
                <c:pt idx="25">
                  <c:v>2.54407418919549</c:v>
                </c:pt>
                <c:pt idx="26">
                  <c:v>2.5873877019078</c:v>
                </c:pt>
                <c:pt idx="27">
                  <c:v>2.62953119504464</c:v>
                </c:pt>
                <c:pt idx="28">
                  <c:v>2.69111226927947</c:v>
                </c:pt>
                <c:pt idx="29">
                  <c:v>2.70244754638675</c:v>
                </c:pt>
                <c:pt idx="30">
                  <c:v>2.70327686016252</c:v>
                </c:pt>
                <c:pt idx="31">
                  <c:v>2.68840825313092</c:v>
                </c:pt>
                <c:pt idx="32">
                  <c:v>2.7017477550084</c:v>
                </c:pt>
                <c:pt idx="33">
                  <c:v>2.73603867662336</c:v>
                </c:pt>
                <c:pt idx="34">
                  <c:v>2.78961611767627</c:v>
                </c:pt>
                <c:pt idx="35">
                  <c:v>2.82066531999578</c:v>
                </c:pt>
                <c:pt idx="36">
                  <c:v>2.86947112024627</c:v>
                </c:pt>
                <c:pt idx="37">
                  <c:v>2.8757231072563</c:v>
                </c:pt>
                <c:pt idx="38">
                  <c:v>2.84140123290688</c:v>
                </c:pt>
                <c:pt idx="39">
                  <c:v>2.74190560444954</c:v>
                </c:pt>
                <c:pt idx="40">
                  <c:v>2.64066906841025</c:v>
                </c:pt>
                <c:pt idx="41">
                  <c:v>2.57069612795253</c:v>
                </c:pt>
                <c:pt idx="42">
                  <c:v>2.54791613852716</c:v>
                </c:pt>
                <c:pt idx="43">
                  <c:v>2.47716198474433</c:v>
                </c:pt>
                <c:pt idx="44">
                  <c:v>2.44013853049518</c:v>
                </c:pt>
                <c:pt idx="45">
                  <c:v>2.43593109799464</c:v>
                </c:pt>
                <c:pt idx="46">
                  <c:v>2.44870848831072</c:v>
                </c:pt>
                <c:pt idx="47">
                  <c:v>2.45888934110669</c:v>
                </c:pt>
                <c:pt idx="48">
                  <c:v>2.5529289293791</c:v>
                </c:pt>
                <c:pt idx="49">
                  <c:v>2.598411115264</c:v>
                </c:pt>
                <c:pt idx="50">
                  <c:v>2.6385178270708</c:v>
                </c:pt>
                <c:pt idx="51">
                  <c:v>2.68333843474962</c:v>
                </c:pt>
                <c:pt idx="52">
                  <c:v>2.7683838032738</c:v>
                </c:pt>
                <c:pt idx="53">
                  <c:v>2.78080614163975</c:v>
                </c:pt>
                <c:pt idx="54">
                  <c:v>2.76942013129103</c:v>
                </c:pt>
                <c:pt idx="55">
                  <c:v>2.70380000730956</c:v>
                </c:pt>
                <c:pt idx="56">
                  <c:v>2.6407999848153</c:v>
                </c:pt>
                <c:pt idx="57">
                  <c:v>2.5974641384355</c:v>
                </c:pt>
                <c:pt idx="58">
                  <c:v>2.55420173888469</c:v>
                </c:pt>
                <c:pt idx="59">
                  <c:v>2.50329787565104</c:v>
                </c:pt>
                <c:pt idx="60">
                  <c:v>2.47779503224044</c:v>
                </c:pt>
                <c:pt idx="61">
                  <c:v>2.49118176459396</c:v>
                </c:pt>
                <c:pt idx="62">
                  <c:v>2.50681291162508</c:v>
                </c:pt>
                <c:pt idx="63">
                  <c:v>2.51251467323297</c:v>
                </c:pt>
                <c:pt idx="64">
                  <c:v>2.55863300161917</c:v>
                </c:pt>
                <c:pt idx="65">
                  <c:v>2.52365669496512</c:v>
                </c:pt>
                <c:pt idx="66">
                  <c:v>2.4841459006254</c:v>
                </c:pt>
                <c:pt idx="67">
                  <c:v>2.3932956079526</c:v>
                </c:pt>
                <c:pt idx="68">
                  <c:v>2.35766222646749</c:v>
                </c:pt>
                <c:pt idx="69">
                  <c:v>2.34073334783387</c:v>
                </c:pt>
                <c:pt idx="70">
                  <c:v>2.36219342790686</c:v>
                </c:pt>
                <c:pt idx="71">
                  <c:v>2.4205136094188</c:v>
                </c:pt>
                <c:pt idx="72">
                  <c:v>2.4467917486261</c:v>
                </c:pt>
                <c:pt idx="73">
                  <c:v>2.44506886653069</c:v>
                </c:pt>
                <c:pt idx="74">
                  <c:v>2.435784646073</c:v>
                </c:pt>
                <c:pt idx="75">
                  <c:v>2.41322150919629</c:v>
                </c:pt>
                <c:pt idx="76">
                  <c:v>2.44404536826707</c:v>
                </c:pt>
                <c:pt idx="77">
                  <c:v>2.47680355053591</c:v>
                </c:pt>
                <c:pt idx="78">
                  <c:v>2.50571852008331</c:v>
                </c:pt>
                <c:pt idx="79">
                  <c:v>2.53339706847622</c:v>
                </c:pt>
                <c:pt idx="80">
                  <c:v>2.61591663705725</c:v>
                </c:pt>
                <c:pt idx="81">
                  <c:v>2.68156726971089</c:v>
                </c:pt>
                <c:pt idx="82">
                  <c:v>2.74646096179911</c:v>
                </c:pt>
                <c:pt idx="83">
                  <c:v>2.77138199607063</c:v>
                </c:pt>
                <c:pt idx="84">
                  <c:v>2.77766251728907</c:v>
                </c:pt>
                <c:pt idx="85">
                  <c:v>2.70239123040734</c:v>
                </c:pt>
                <c:pt idx="86">
                  <c:v>2.598133062543</c:v>
                </c:pt>
                <c:pt idx="87">
                  <c:v>2.48081255020638</c:v>
                </c:pt>
                <c:pt idx="88">
                  <c:v>2.36647219804224</c:v>
                </c:pt>
                <c:pt idx="89">
                  <c:v>2.5453632277433</c:v>
                </c:pt>
                <c:pt idx="90">
                  <c:v>2.38066990634219</c:v>
                </c:pt>
                <c:pt idx="91">
                  <c:v>2.41551199882647</c:v>
                </c:pt>
                <c:pt idx="92">
                  <c:v>2.47185568800742</c:v>
                </c:pt>
                <c:pt idx="93">
                  <c:v>2.50969972991444</c:v>
                </c:pt>
                <c:pt idx="94">
                  <c:v>2.55304947019643</c:v>
                </c:pt>
                <c:pt idx="95">
                  <c:v>2.56701163877873</c:v>
                </c:pt>
                <c:pt idx="96">
                  <c:v>2.71187560313528</c:v>
                </c:pt>
                <c:pt idx="97">
                  <c:v>2.90813390143076</c:v>
                </c:pt>
                <c:pt idx="98">
                  <c:v>3.12536641436095</c:v>
                </c:pt>
                <c:pt idx="99">
                  <c:v>3.21722250084552</c:v>
                </c:pt>
                <c:pt idx="100">
                  <c:v>3.28516821355618</c:v>
                </c:pt>
                <c:pt idx="101">
                  <c:v>3.51215789434493</c:v>
                </c:pt>
                <c:pt idx="102">
                  <c:v>3.67402905789759</c:v>
                </c:pt>
                <c:pt idx="103">
                  <c:v>3.76845901958162</c:v>
                </c:pt>
                <c:pt idx="104">
                  <c:v>3.84408113079762</c:v>
                </c:pt>
                <c:pt idx="105">
                  <c:v>3.93241249438537</c:v>
                </c:pt>
                <c:pt idx="106">
                  <c:v>3.9157941077128</c:v>
                </c:pt>
                <c:pt idx="107">
                  <c:v>3.83639570078734</c:v>
                </c:pt>
                <c:pt idx="108">
                  <c:v>3.86424217231325</c:v>
                </c:pt>
                <c:pt idx="109">
                  <c:v>3.93360775463168</c:v>
                </c:pt>
                <c:pt idx="110">
                  <c:v>3.94717967155923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770228"/>
        <c:axId val="85939457"/>
      </c:lineChart>
      <c:catAx>
        <c:axId val="70770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39457"/>
        <c:crosses val="autoZero"/>
        <c:auto val="1"/>
        <c:lblAlgn val="ctr"/>
        <c:lblOffset val="100"/>
        <c:noMultiLvlLbl val="0"/>
      </c:catAx>
      <c:valAx>
        <c:axId val="85939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70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EFFECTIVE INTEREST RATE  EFFI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Construction'!F4</c:f>
              <c:strCache>
                <c:ptCount val="1"/>
                <c:pt idx="0">
                  <c:v>EFFI (% p.a.)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Construction'!$F$5:$F$115</c:f>
              <c:numCache>
                <c:formatCode>0.0000</c:formatCode>
                <c:ptCount val="111"/>
                <c:pt idx="1">
                  <c:v>6.60072664732026</c:v>
                </c:pt>
                <c:pt idx="2">
                  <c:v>6.5160232823013</c:v>
                </c:pt>
                <c:pt idx="3">
                  <c:v>6.28041226870395</c:v>
                </c:pt>
                <c:pt idx="4">
                  <c:v>6.23080274806465</c:v>
                </c:pt>
                <c:pt idx="5">
                  <c:v>6.22604541210404</c:v>
                </c:pt>
                <c:pt idx="6">
                  <c:v>6.23953502600829</c:v>
                </c:pt>
                <c:pt idx="7">
                  <c:v>6.14294312952886</c:v>
                </c:pt>
                <c:pt idx="8">
                  <c:v>6.13346565513686</c:v>
                </c:pt>
                <c:pt idx="9">
                  <c:v>6.20613496674317</c:v>
                </c:pt>
                <c:pt idx="10">
                  <c:v>6.22301513612717</c:v>
                </c:pt>
                <c:pt idx="11">
                  <c:v>6.10148090140716</c:v>
                </c:pt>
                <c:pt idx="12">
                  <c:v>5.79825230567201</c:v>
                </c:pt>
                <c:pt idx="13">
                  <c:v>5.70694223175385</c:v>
                </c:pt>
                <c:pt idx="14">
                  <c:v>5.47262990628528</c:v>
                </c:pt>
                <c:pt idx="15">
                  <c:v>5.13054772103213</c:v>
                </c:pt>
                <c:pt idx="16">
                  <c:v>5.02757887576401</c:v>
                </c:pt>
                <c:pt idx="17">
                  <c:v>4.89988648138418</c:v>
                </c:pt>
                <c:pt idx="18">
                  <c:v>4.78475747095131</c:v>
                </c:pt>
                <c:pt idx="19">
                  <c:v>4.53960832217772</c:v>
                </c:pt>
                <c:pt idx="20">
                  <c:v>4.49360857314973</c:v>
                </c:pt>
                <c:pt idx="21">
                  <c:v>4.3726192666329</c:v>
                </c:pt>
                <c:pt idx="22">
                  <c:v>4.33575270111417</c:v>
                </c:pt>
                <c:pt idx="23">
                  <c:v>4.25669494371098</c:v>
                </c:pt>
                <c:pt idx="24">
                  <c:v>4.20218970611242</c:v>
                </c:pt>
                <c:pt idx="25">
                  <c:v>4.23624959840142</c:v>
                </c:pt>
                <c:pt idx="26">
                  <c:v>4.31472692622823</c:v>
                </c:pt>
                <c:pt idx="27">
                  <c:v>4.33650338504584</c:v>
                </c:pt>
                <c:pt idx="28">
                  <c:v>4.41795903286271</c:v>
                </c:pt>
                <c:pt idx="29">
                  <c:v>4.45643034795914</c:v>
                </c:pt>
                <c:pt idx="30">
                  <c:v>4.47869674187475</c:v>
                </c:pt>
                <c:pt idx="31">
                  <c:v>4.38422169888056</c:v>
                </c:pt>
                <c:pt idx="32">
                  <c:v>4.38905926466873</c:v>
                </c:pt>
                <c:pt idx="33">
                  <c:v>4.46908725185297</c:v>
                </c:pt>
                <c:pt idx="34">
                  <c:v>4.54832669905217</c:v>
                </c:pt>
                <c:pt idx="35">
                  <c:v>4.5621982926778</c:v>
                </c:pt>
                <c:pt idx="36">
                  <c:v>4.609372244001</c:v>
                </c:pt>
                <c:pt idx="37">
                  <c:v>4.67049021198742</c:v>
                </c:pt>
                <c:pt idx="38">
                  <c:v>4.59414902360531</c:v>
                </c:pt>
                <c:pt idx="39">
                  <c:v>4.37171369495156</c:v>
                </c:pt>
                <c:pt idx="40">
                  <c:v>4.11493637709049</c:v>
                </c:pt>
                <c:pt idx="41">
                  <c:v>4.02604053258476</c:v>
                </c:pt>
                <c:pt idx="42">
                  <c:v>3.78677740807832</c:v>
                </c:pt>
                <c:pt idx="43">
                  <c:v>3.38201503409349</c:v>
                </c:pt>
                <c:pt idx="44">
                  <c:v>3.16469722634599</c:v>
                </c:pt>
                <c:pt idx="45">
                  <c:v>3.03428893051697</c:v>
                </c:pt>
                <c:pt idx="46">
                  <c:v>2.97074828010409</c:v>
                </c:pt>
                <c:pt idx="47">
                  <c:v>2.92622677803254</c:v>
                </c:pt>
                <c:pt idx="48">
                  <c:v>2.95096207090841</c:v>
                </c:pt>
                <c:pt idx="49">
                  <c:v>2.94844054131975</c:v>
                </c:pt>
                <c:pt idx="50">
                  <c:v>2.94591590298249</c:v>
                </c:pt>
                <c:pt idx="51">
                  <c:v>2.92904615820445</c:v>
                </c:pt>
                <c:pt idx="52">
                  <c:v>2.97816131701876</c:v>
                </c:pt>
                <c:pt idx="53">
                  <c:v>3.01626155081985</c:v>
                </c:pt>
                <c:pt idx="54">
                  <c:v>2.92995283300176</c:v>
                </c:pt>
                <c:pt idx="55">
                  <c:v>2.81379930060839</c:v>
                </c:pt>
                <c:pt idx="56">
                  <c:v>2.71902413392913</c:v>
                </c:pt>
                <c:pt idx="57">
                  <c:v>2.6551436832677</c:v>
                </c:pt>
                <c:pt idx="58">
                  <c:v>2.59447130637229</c:v>
                </c:pt>
                <c:pt idx="59">
                  <c:v>2.50142255915844</c:v>
                </c:pt>
                <c:pt idx="60">
                  <c:v>2.45959476882954</c:v>
                </c:pt>
                <c:pt idx="61">
                  <c:v>2.48974816759905</c:v>
                </c:pt>
                <c:pt idx="62">
                  <c:v>2.53911116740786</c:v>
                </c:pt>
                <c:pt idx="63">
                  <c:v>2.51777228531917</c:v>
                </c:pt>
                <c:pt idx="64">
                  <c:v>2.49997923871423</c:v>
                </c:pt>
                <c:pt idx="65">
                  <c:v>2.5073264776164</c:v>
                </c:pt>
                <c:pt idx="66">
                  <c:v>2.48138040216719</c:v>
                </c:pt>
                <c:pt idx="67">
                  <c:v>2.36303692018957</c:v>
                </c:pt>
                <c:pt idx="68">
                  <c:v>2.34616391175238</c:v>
                </c:pt>
                <c:pt idx="69">
                  <c:v>2.35721167174638</c:v>
                </c:pt>
                <c:pt idx="70">
                  <c:v>2.39486052286906</c:v>
                </c:pt>
                <c:pt idx="71">
                  <c:v>2.35821154691845</c:v>
                </c:pt>
                <c:pt idx="72">
                  <c:v>2.35293233654826</c:v>
                </c:pt>
                <c:pt idx="73">
                  <c:v>2.36055965075387</c:v>
                </c:pt>
                <c:pt idx="74">
                  <c:v>2.35106291828128</c:v>
                </c:pt>
                <c:pt idx="75">
                  <c:v>2.30601686075497</c:v>
                </c:pt>
                <c:pt idx="76">
                  <c:v>2.37430237293426</c:v>
                </c:pt>
                <c:pt idx="77">
                  <c:v>2.42614158970222</c:v>
                </c:pt>
                <c:pt idx="78">
                  <c:v>2.43735960149199</c:v>
                </c:pt>
                <c:pt idx="79">
                  <c:v>2.47706659250928</c:v>
                </c:pt>
                <c:pt idx="80">
                  <c:v>2.52151247090288</c:v>
                </c:pt>
                <c:pt idx="81">
                  <c:v>2.60386507171921</c:v>
                </c:pt>
                <c:pt idx="82">
                  <c:v>2.65489624519846</c:v>
                </c:pt>
                <c:pt idx="83">
                  <c:v>2.63816997741409</c:v>
                </c:pt>
                <c:pt idx="84">
                  <c:v>2.66212190117102</c:v>
                </c:pt>
                <c:pt idx="85">
                  <c:v>2.62565769704019</c:v>
                </c:pt>
                <c:pt idx="86">
                  <c:v>2.48352057483101</c:v>
                </c:pt>
                <c:pt idx="87">
                  <c:v>2.34521392283766</c:v>
                </c:pt>
                <c:pt idx="88">
                  <c:v>2.21641907516052</c:v>
                </c:pt>
                <c:pt idx="89">
                  <c:v>1.91867040698222</c:v>
                </c:pt>
                <c:pt idx="90">
                  <c:v>1.9176230117849</c:v>
                </c:pt>
                <c:pt idx="91">
                  <c:v>1.92273990932837</c:v>
                </c:pt>
                <c:pt idx="92">
                  <c:v>1.99282901496855</c:v>
                </c:pt>
                <c:pt idx="93">
                  <c:v>2.06074872256429</c:v>
                </c:pt>
                <c:pt idx="94">
                  <c:v>2.15372949900687</c:v>
                </c:pt>
                <c:pt idx="95">
                  <c:v>2.15066810220841</c:v>
                </c:pt>
                <c:pt idx="96">
                  <c:v>2.25242223586191</c:v>
                </c:pt>
                <c:pt idx="97">
                  <c:v>2.46030708381905</c:v>
                </c:pt>
                <c:pt idx="98">
                  <c:v>2.66128331396511</c:v>
                </c:pt>
                <c:pt idx="99">
                  <c:v>2.74116960595283</c:v>
                </c:pt>
                <c:pt idx="100">
                  <c:v>2.84218178196467</c:v>
                </c:pt>
                <c:pt idx="101">
                  <c:v>2.99050726442187</c:v>
                </c:pt>
                <c:pt idx="102">
                  <c:v>3.1099213560924</c:v>
                </c:pt>
                <c:pt idx="103">
                  <c:v>3.15037340049545</c:v>
                </c:pt>
                <c:pt idx="104">
                  <c:v>3.19073611301476</c:v>
                </c:pt>
                <c:pt idx="105">
                  <c:v>3.29063528739526</c:v>
                </c:pt>
                <c:pt idx="106">
                  <c:v>3.25849884458074</c:v>
                </c:pt>
                <c:pt idx="107">
                  <c:v>3.1591828415659</c:v>
                </c:pt>
                <c:pt idx="108">
                  <c:v>3.20563886005637</c:v>
                </c:pt>
                <c:pt idx="109">
                  <c:v>3.31162748425804</c:v>
                </c:pt>
                <c:pt idx="110">
                  <c:v>3.2613570507497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782671"/>
        <c:axId val="69752277"/>
      </c:lineChart>
      <c:catAx>
        <c:axId val="2578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52277"/>
        <c:crosses val="autoZero"/>
        <c:auto val="1"/>
        <c:lblAlgn val="ctr"/>
        <c:lblOffset val="100"/>
        <c:noMultiLvlLbl val="0"/>
      </c:catAx>
      <c:valAx>
        <c:axId val="69752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82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FPEXP: raw vs into-BVAR (COVID treatment)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Construction'!C4</c:f>
              <c:strCache>
                <c:ptCount val="1"/>
                <c:pt idx="0">
                  <c:v>FPEXP_GDP RAW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Construction'!$C$5:$C$115</c:f>
              <c:numCache>
                <c:formatCode>0.0000</c:formatCode>
                <c:ptCount val="111"/>
                <c:pt idx="1">
                  <c:v>15.5938918312128</c:v>
                </c:pt>
                <c:pt idx="2">
                  <c:v>15.64914362409</c:v>
                </c:pt>
                <c:pt idx="3">
                  <c:v>15.5061762605239</c:v>
                </c:pt>
                <c:pt idx="4">
                  <c:v>15.3767342941212</c:v>
                </c:pt>
                <c:pt idx="5">
                  <c:v>15.4040426460152</c:v>
                </c:pt>
                <c:pt idx="6">
                  <c:v>15.3757880294771</c:v>
                </c:pt>
                <c:pt idx="7">
                  <c:v>15.1115671895094</c:v>
                </c:pt>
                <c:pt idx="8">
                  <c:v>15.169579184443</c:v>
                </c:pt>
                <c:pt idx="9">
                  <c:v>15.17459742115</c:v>
                </c:pt>
                <c:pt idx="10">
                  <c:v>15.1948054685895</c:v>
                </c:pt>
                <c:pt idx="11">
                  <c:v>15.6362070712671</c:v>
                </c:pt>
                <c:pt idx="12">
                  <c:v>15.7449287668648</c:v>
                </c:pt>
                <c:pt idx="13">
                  <c:v>16.1433645152585</c:v>
                </c:pt>
                <c:pt idx="14">
                  <c:v>16.2055126113167</c:v>
                </c:pt>
                <c:pt idx="15">
                  <c:v>16.5673297166968</c:v>
                </c:pt>
                <c:pt idx="16">
                  <c:v>16.7920525081148</c:v>
                </c:pt>
                <c:pt idx="17">
                  <c:v>16.826750448833</c:v>
                </c:pt>
                <c:pt idx="18">
                  <c:v>17.056479029435</c:v>
                </c:pt>
                <c:pt idx="19">
                  <c:v>17.2672787292862</c:v>
                </c:pt>
                <c:pt idx="20">
                  <c:v>17.7639756713787</c:v>
                </c:pt>
                <c:pt idx="21">
                  <c:v>17.4463624747972</c:v>
                </c:pt>
                <c:pt idx="22">
                  <c:v>17.4144686556519</c:v>
                </c:pt>
                <c:pt idx="23">
                  <c:v>17.4711054613653</c:v>
                </c:pt>
                <c:pt idx="24">
                  <c:v>17.3431114072162</c:v>
                </c:pt>
                <c:pt idx="25">
                  <c:v>17.2335074614555</c:v>
                </c:pt>
                <c:pt idx="26">
                  <c:v>17.2238136907376</c:v>
                </c:pt>
                <c:pt idx="27">
                  <c:v>17.3773188757579</c:v>
                </c:pt>
                <c:pt idx="28">
                  <c:v>17.2960109748337</c:v>
                </c:pt>
                <c:pt idx="29">
                  <c:v>17.2575803251736</c:v>
                </c:pt>
                <c:pt idx="30">
                  <c:v>17.2208185944916</c:v>
                </c:pt>
                <c:pt idx="31">
                  <c:v>17.4273631606658</c:v>
                </c:pt>
                <c:pt idx="32">
                  <c:v>17.3169241346737</c:v>
                </c:pt>
                <c:pt idx="33">
                  <c:v>17.2990661698313</c:v>
                </c:pt>
                <c:pt idx="34">
                  <c:v>17.1157856798931</c:v>
                </c:pt>
                <c:pt idx="35">
                  <c:v>17.3985489655029</c:v>
                </c:pt>
                <c:pt idx="36">
                  <c:v>17.3397707359255</c:v>
                </c:pt>
                <c:pt idx="37">
                  <c:v>17.3821523131131</c:v>
                </c:pt>
                <c:pt idx="38">
                  <c:v>17.5190610869492</c:v>
                </c:pt>
                <c:pt idx="39">
                  <c:v>17.9515328488595</c:v>
                </c:pt>
                <c:pt idx="40">
                  <c:v>20.2419045021826</c:v>
                </c:pt>
                <c:pt idx="41">
                  <c:v>18.8734692847486</c:v>
                </c:pt>
                <c:pt idx="42">
                  <c:v>19.2580212947391</c:v>
                </c:pt>
                <c:pt idx="43">
                  <c:v>20.5177611212383</c:v>
                </c:pt>
                <c:pt idx="44">
                  <c:v>22.0602526792551</c:v>
                </c:pt>
                <c:pt idx="45">
                  <c:v>22.0265208062465</c:v>
                </c:pt>
                <c:pt idx="46">
                  <c:v>21.8876083533902</c:v>
                </c:pt>
                <c:pt idx="47">
                  <c:v>22.6913545295135</c:v>
                </c:pt>
                <c:pt idx="48">
                  <c:v>22.488234964663</c:v>
                </c:pt>
                <c:pt idx="49">
                  <c:v>22.4757583524655</c:v>
                </c:pt>
                <c:pt idx="50">
                  <c:v>22.2756836714312</c:v>
                </c:pt>
                <c:pt idx="51">
                  <c:v>22.1507313186352</c:v>
                </c:pt>
                <c:pt idx="52">
                  <c:v>22.0111291380983</c:v>
                </c:pt>
                <c:pt idx="53">
                  <c:v>21.4166445121577</c:v>
                </c:pt>
                <c:pt idx="54">
                  <c:v>21.1660344651606</c:v>
                </c:pt>
                <c:pt idx="55">
                  <c:v>20.8229610104796</c:v>
                </c:pt>
                <c:pt idx="56">
                  <c:v>20.6608147100826</c:v>
                </c:pt>
                <c:pt idx="57">
                  <c:v>20.5662953388211</c:v>
                </c:pt>
                <c:pt idx="58">
                  <c:v>20.4176823989692</c:v>
                </c:pt>
                <c:pt idx="59">
                  <c:v>20.108769788714</c:v>
                </c:pt>
                <c:pt idx="60">
                  <c:v>20.106341878475</c:v>
                </c:pt>
                <c:pt idx="61">
                  <c:v>19.8007200493481</c:v>
                </c:pt>
                <c:pt idx="62">
                  <c:v>19.4710231532434</c:v>
                </c:pt>
                <c:pt idx="63">
                  <c:v>19.6970671375503</c:v>
                </c:pt>
                <c:pt idx="64">
                  <c:v>19.613799303</c:v>
                </c:pt>
                <c:pt idx="65">
                  <c:v>19.5993670716866</c:v>
                </c:pt>
                <c:pt idx="66">
                  <c:v>19.4526163043385</c:v>
                </c:pt>
                <c:pt idx="67">
                  <c:v>19.6059197513398</c:v>
                </c:pt>
                <c:pt idx="68">
                  <c:v>19.5018770462496</c:v>
                </c:pt>
                <c:pt idx="69">
                  <c:v>19.4766973309859</c:v>
                </c:pt>
                <c:pt idx="70">
                  <c:v>19.6132038508854</c:v>
                </c:pt>
                <c:pt idx="71">
                  <c:v>19.6376992187114</c:v>
                </c:pt>
                <c:pt idx="72">
                  <c:v>19.4977239376728</c:v>
                </c:pt>
                <c:pt idx="73">
                  <c:v>19.5472215395636</c:v>
                </c:pt>
                <c:pt idx="74">
                  <c:v>19.4625293992015</c:v>
                </c:pt>
                <c:pt idx="75">
                  <c:v>19.3546511519348</c:v>
                </c:pt>
                <c:pt idx="76">
                  <c:v>19.1594392674427</c:v>
                </c:pt>
                <c:pt idx="77">
                  <c:v>19.1570892510611</c:v>
                </c:pt>
                <c:pt idx="78">
                  <c:v>19.09929227241</c:v>
                </c:pt>
                <c:pt idx="79">
                  <c:v>19.139985025004</c:v>
                </c:pt>
                <c:pt idx="80">
                  <c:v>19.056517028983</c:v>
                </c:pt>
                <c:pt idx="81">
                  <c:v>19.04122992125</c:v>
                </c:pt>
                <c:pt idx="82">
                  <c:v>19.228432803402</c:v>
                </c:pt>
                <c:pt idx="83">
                  <c:v>19.4598372458743</c:v>
                </c:pt>
                <c:pt idx="84">
                  <c:v>19.3875736998584</c:v>
                </c:pt>
                <c:pt idx="85">
                  <c:v>19.3165675216169</c:v>
                </c:pt>
                <c:pt idx="86">
                  <c:v>19.2950856228706</c:v>
                </c:pt>
                <c:pt idx="87">
                  <c:v>19.8724366861325</c:v>
                </c:pt>
                <c:pt idx="88">
                  <c:v>41.9707078126078</c:v>
                </c:pt>
                <c:pt idx="89">
                  <c:v>30.7130749348624</c:v>
                </c:pt>
                <c:pt idx="90">
                  <c:v>24.5012577443184</c:v>
                </c:pt>
                <c:pt idx="91">
                  <c:v>34.4468001925691</c:v>
                </c:pt>
                <c:pt idx="92">
                  <c:v>30.7082670427744</c:v>
                </c:pt>
                <c:pt idx="93">
                  <c:v>25.884379527152</c:v>
                </c:pt>
                <c:pt idx="94">
                  <c:v>22.6799980655769</c:v>
                </c:pt>
                <c:pt idx="95">
                  <c:v>21.2505871701486</c:v>
                </c:pt>
                <c:pt idx="96">
                  <c:v>20.8609724525751</c:v>
                </c:pt>
                <c:pt idx="97">
                  <c:v>20.6052299517806</c:v>
                </c:pt>
                <c:pt idx="98">
                  <c:v>20.5271889811305</c:v>
                </c:pt>
                <c:pt idx="99">
                  <c:v>20.4741398077523</c:v>
                </c:pt>
                <c:pt idx="100">
                  <c:v>20.3326546205592</c:v>
                </c:pt>
                <c:pt idx="101">
                  <c:v>19.9172454944187</c:v>
                </c:pt>
                <c:pt idx="102">
                  <c:v>19.8300971949699</c:v>
                </c:pt>
                <c:pt idx="103">
                  <c:v>20.1160534107357</c:v>
                </c:pt>
                <c:pt idx="104">
                  <c:v>20.0722104100848</c:v>
                </c:pt>
                <c:pt idx="105">
                  <c:v>20.3969555901694</c:v>
                </c:pt>
                <c:pt idx="106">
                  <c:v>20.4258468565255</c:v>
                </c:pt>
                <c:pt idx="107">
                  <c:v>20.5357892102996</c:v>
                </c:pt>
                <c:pt idx="108">
                  <c:v>20.7816549179454</c:v>
                </c:pt>
                <c:pt idx="109">
                  <c:v>20.5191152480509</c:v>
                </c:pt>
                <c:pt idx="110">
                  <c:v>20.2280618687371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'US Construction'!D4</c:f>
              <c:strCache>
                <c:ptCount val="1"/>
                <c:pt idx="0">
                  <c:v>FPEXP_GDP into BVAR (% GDP)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Construction'!$D$5:$D$115</c:f>
              <c:numCache>
                <c:formatCode>0.0000</c:formatCode>
                <c:ptCount val="111"/>
                <c:pt idx="1">
                  <c:v>15.5938918312128</c:v>
                </c:pt>
                <c:pt idx="2">
                  <c:v>15.64914362409</c:v>
                </c:pt>
                <c:pt idx="3">
                  <c:v>15.5061762605239</c:v>
                </c:pt>
                <c:pt idx="4">
                  <c:v>15.3767342941212</c:v>
                </c:pt>
                <c:pt idx="5">
                  <c:v>15.4040426460152</c:v>
                </c:pt>
                <c:pt idx="6">
                  <c:v>15.3757880294771</c:v>
                </c:pt>
                <c:pt idx="7">
                  <c:v>15.1115671895094</c:v>
                </c:pt>
                <c:pt idx="8">
                  <c:v>15.169579184443</c:v>
                </c:pt>
                <c:pt idx="9">
                  <c:v>15.17459742115</c:v>
                </c:pt>
                <c:pt idx="10">
                  <c:v>15.1948054685895</c:v>
                </c:pt>
                <c:pt idx="11">
                  <c:v>15.6362070712671</c:v>
                </c:pt>
                <c:pt idx="12">
                  <c:v>15.7449287668648</c:v>
                </c:pt>
                <c:pt idx="13">
                  <c:v>16.1433645152585</c:v>
                </c:pt>
                <c:pt idx="14">
                  <c:v>16.2055126113167</c:v>
                </c:pt>
                <c:pt idx="15">
                  <c:v>16.5673297166968</c:v>
                </c:pt>
                <c:pt idx="16">
                  <c:v>16.7920525081148</c:v>
                </c:pt>
                <c:pt idx="17">
                  <c:v>16.826750448833</c:v>
                </c:pt>
                <c:pt idx="18">
                  <c:v>17.056479029435</c:v>
                </c:pt>
                <c:pt idx="19">
                  <c:v>17.2672787292862</c:v>
                </c:pt>
                <c:pt idx="20">
                  <c:v>17.7639756713787</c:v>
                </c:pt>
                <c:pt idx="21">
                  <c:v>17.4463624747972</c:v>
                </c:pt>
                <c:pt idx="22">
                  <c:v>17.4144686556519</c:v>
                </c:pt>
                <c:pt idx="23">
                  <c:v>17.4711054613653</c:v>
                </c:pt>
                <c:pt idx="24">
                  <c:v>17.3431114072162</c:v>
                </c:pt>
                <c:pt idx="25">
                  <c:v>17.2335074614555</c:v>
                </c:pt>
                <c:pt idx="26">
                  <c:v>17.2238136907376</c:v>
                </c:pt>
                <c:pt idx="27">
                  <c:v>17.3773188757579</c:v>
                </c:pt>
                <c:pt idx="28">
                  <c:v>17.2960109748337</c:v>
                </c:pt>
                <c:pt idx="29">
                  <c:v>17.2575803251736</c:v>
                </c:pt>
                <c:pt idx="30">
                  <c:v>17.2208185944916</c:v>
                </c:pt>
                <c:pt idx="31">
                  <c:v>17.4273631606658</c:v>
                </c:pt>
                <c:pt idx="32">
                  <c:v>17.3169241346737</c:v>
                </c:pt>
                <c:pt idx="33">
                  <c:v>17.2990661698313</c:v>
                </c:pt>
                <c:pt idx="34">
                  <c:v>17.1157856798931</c:v>
                </c:pt>
                <c:pt idx="35">
                  <c:v>17.3985489655029</c:v>
                </c:pt>
                <c:pt idx="36">
                  <c:v>17.3397707359255</c:v>
                </c:pt>
                <c:pt idx="37">
                  <c:v>17.3821523131131</c:v>
                </c:pt>
                <c:pt idx="38">
                  <c:v>17.5190610869492</c:v>
                </c:pt>
                <c:pt idx="39">
                  <c:v>17.9515328488595</c:v>
                </c:pt>
                <c:pt idx="40">
                  <c:v>20.2419045021826</c:v>
                </c:pt>
                <c:pt idx="41">
                  <c:v>18.8734692847486</c:v>
                </c:pt>
                <c:pt idx="42">
                  <c:v>19.2580212947391</c:v>
                </c:pt>
                <c:pt idx="43">
                  <c:v>20.5177611212383</c:v>
                </c:pt>
                <c:pt idx="44">
                  <c:v>22.0602526792551</c:v>
                </c:pt>
                <c:pt idx="45">
                  <c:v>22.0265208062465</c:v>
                </c:pt>
                <c:pt idx="46">
                  <c:v>21.8876083533902</c:v>
                </c:pt>
                <c:pt idx="47">
                  <c:v>22.6913545295135</c:v>
                </c:pt>
                <c:pt idx="48">
                  <c:v>22.488234964663</c:v>
                </c:pt>
                <c:pt idx="49">
                  <c:v>22.4757583524655</c:v>
                </c:pt>
                <c:pt idx="50">
                  <c:v>22.2756836714312</c:v>
                </c:pt>
                <c:pt idx="51">
                  <c:v>22.1507313186352</c:v>
                </c:pt>
                <c:pt idx="52">
                  <c:v>22.0111291380983</c:v>
                </c:pt>
                <c:pt idx="53">
                  <c:v>21.4166445121577</c:v>
                </c:pt>
                <c:pt idx="54">
                  <c:v>21.1660344651606</c:v>
                </c:pt>
                <c:pt idx="55">
                  <c:v>20.8229610104796</c:v>
                </c:pt>
                <c:pt idx="56">
                  <c:v>20.6608147100826</c:v>
                </c:pt>
                <c:pt idx="57">
                  <c:v>20.5662953388211</c:v>
                </c:pt>
                <c:pt idx="58">
                  <c:v>20.4176823989692</c:v>
                </c:pt>
                <c:pt idx="59">
                  <c:v>20.108769788714</c:v>
                </c:pt>
                <c:pt idx="60">
                  <c:v>20.106341878475</c:v>
                </c:pt>
                <c:pt idx="61">
                  <c:v>19.8007200493481</c:v>
                </c:pt>
                <c:pt idx="62">
                  <c:v>19.4710231532434</c:v>
                </c:pt>
                <c:pt idx="63">
                  <c:v>19.6970671375503</c:v>
                </c:pt>
                <c:pt idx="64">
                  <c:v>19.613799303</c:v>
                </c:pt>
                <c:pt idx="65">
                  <c:v>19.5993670716866</c:v>
                </c:pt>
                <c:pt idx="66">
                  <c:v>19.4526163043385</c:v>
                </c:pt>
                <c:pt idx="67">
                  <c:v>19.6059197513398</c:v>
                </c:pt>
                <c:pt idx="68">
                  <c:v>19.5018770462496</c:v>
                </c:pt>
                <c:pt idx="69">
                  <c:v>19.4766973309859</c:v>
                </c:pt>
                <c:pt idx="70">
                  <c:v>19.6132038508854</c:v>
                </c:pt>
                <c:pt idx="71">
                  <c:v>19.6376992187114</c:v>
                </c:pt>
                <c:pt idx="72">
                  <c:v>19.4977239376728</c:v>
                </c:pt>
                <c:pt idx="73">
                  <c:v>19.5472215395636</c:v>
                </c:pt>
                <c:pt idx="74">
                  <c:v>19.4625293992015</c:v>
                </c:pt>
                <c:pt idx="75">
                  <c:v>19.3546511519348</c:v>
                </c:pt>
                <c:pt idx="76">
                  <c:v>19.1594392674427</c:v>
                </c:pt>
                <c:pt idx="77">
                  <c:v>19.1570892510611</c:v>
                </c:pt>
                <c:pt idx="78">
                  <c:v>19.09929227241</c:v>
                </c:pt>
                <c:pt idx="79">
                  <c:v>19.139985025004</c:v>
                </c:pt>
                <c:pt idx="80">
                  <c:v>19.056517028983</c:v>
                </c:pt>
                <c:pt idx="81">
                  <c:v>19.04122992125</c:v>
                </c:pt>
                <c:pt idx="82">
                  <c:v>19.228432803402</c:v>
                </c:pt>
                <c:pt idx="83">
                  <c:v>19.4598372458743</c:v>
                </c:pt>
                <c:pt idx="84">
                  <c:v>19.3875736998584</c:v>
                </c:pt>
                <c:pt idx="85">
                  <c:v>19.3165675216169</c:v>
                </c:pt>
                <c:pt idx="86">
                  <c:v>19.2950856228706</c:v>
                </c:pt>
                <c:pt idx="87">
                  <c:v>19.8724366861325</c:v>
                </c:pt>
                <c:pt idx="88">
                  <c:v>20.0447054966345</c:v>
                </c:pt>
                <c:pt idx="89">
                  <c:v>20.2169743071365</c:v>
                </c:pt>
                <c:pt idx="90">
                  <c:v>20.3892431176386</c:v>
                </c:pt>
                <c:pt idx="91">
                  <c:v>20.5615119281406</c:v>
                </c:pt>
                <c:pt idx="92">
                  <c:v>20.7337807386426</c:v>
                </c:pt>
                <c:pt idx="93">
                  <c:v>20.9060495491446</c:v>
                </c:pt>
                <c:pt idx="94">
                  <c:v>21.0783183596466</c:v>
                </c:pt>
                <c:pt idx="95">
                  <c:v>21.2505871701486</c:v>
                </c:pt>
                <c:pt idx="96">
                  <c:v>20.8609724525751</c:v>
                </c:pt>
                <c:pt idx="97">
                  <c:v>20.6052299517806</c:v>
                </c:pt>
                <c:pt idx="98">
                  <c:v>20.5271889811305</c:v>
                </c:pt>
                <c:pt idx="99">
                  <c:v>20.4741398077523</c:v>
                </c:pt>
                <c:pt idx="100">
                  <c:v>20.3326546205592</c:v>
                </c:pt>
                <c:pt idx="101">
                  <c:v>19.9172454944187</c:v>
                </c:pt>
                <c:pt idx="102">
                  <c:v>19.8300971949699</c:v>
                </c:pt>
                <c:pt idx="103">
                  <c:v>20.1160534107357</c:v>
                </c:pt>
                <c:pt idx="104">
                  <c:v>20.0722104100848</c:v>
                </c:pt>
                <c:pt idx="105">
                  <c:v>20.3969555901694</c:v>
                </c:pt>
                <c:pt idx="106">
                  <c:v>20.4258468565255</c:v>
                </c:pt>
                <c:pt idx="107">
                  <c:v>20.5357892102996</c:v>
                </c:pt>
                <c:pt idx="108">
                  <c:v>20.7816549179454</c:v>
                </c:pt>
                <c:pt idx="109">
                  <c:v>20.5191152480509</c:v>
                </c:pt>
                <c:pt idx="110">
                  <c:v>20.2280618687371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294192"/>
        <c:axId val="8377397"/>
      </c:lineChart>
      <c:catAx>
        <c:axId val="6329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7397"/>
        <c:crosses val="autoZero"/>
        <c:auto val="1"/>
        <c:lblAlgn val="ctr"/>
        <c:lblOffset val="100"/>
        <c:noMultiLvlLbl val="0"/>
      </c:catAx>
      <c:valAx>
        <c:axId val="8377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94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US: reconstructed vs OBSERVED debt/GDP (back-cast)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Fiscal Arithmetic'!I4</c:f>
              <c:strCache>
                <c:ptCount val="1"/>
                <c:pt idx="0">
                  <c:v>d_t RATIO form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Arithmetic'!$I$5:$I$115</c:f>
              <c:numCache>
                <c:formatCode>0.0000</c:formatCode>
                <c:ptCount val="111"/>
                <c:pt idx="1">
                  <c:v>60.58693</c:v>
                </c:pt>
                <c:pt idx="2">
                  <c:v>60.40696</c:v>
                </c:pt>
                <c:pt idx="3">
                  <c:v>60.04894</c:v>
                </c:pt>
                <c:pt idx="4">
                  <c:v>59.19227</c:v>
                </c:pt>
                <c:pt idx="5">
                  <c:v>58.39258</c:v>
                </c:pt>
                <c:pt idx="6">
                  <c:v>58.34336</c:v>
                </c:pt>
                <c:pt idx="7">
                  <c:v>57.72134</c:v>
                </c:pt>
                <c:pt idx="8">
                  <c:v>55.48491</c:v>
                </c:pt>
                <c:pt idx="9">
                  <c:v>54.99213</c:v>
                </c:pt>
                <c:pt idx="10">
                  <c:v>54.2579</c:v>
                </c:pt>
                <c:pt idx="11">
                  <c:v>55.14434</c:v>
                </c:pt>
                <c:pt idx="12">
                  <c:v>54.03165</c:v>
                </c:pt>
                <c:pt idx="13">
                  <c:v>54.79763</c:v>
                </c:pt>
                <c:pt idx="14">
                  <c:v>55.75216</c:v>
                </c:pt>
                <c:pt idx="15">
                  <c:v>55.6965</c:v>
                </c:pt>
                <c:pt idx="16">
                  <c:v>56.27087</c:v>
                </c:pt>
                <c:pt idx="17">
                  <c:v>56.7026</c:v>
                </c:pt>
                <c:pt idx="18">
                  <c:v>57.91028</c:v>
                </c:pt>
                <c:pt idx="19">
                  <c:v>57.81906</c:v>
                </c:pt>
                <c:pt idx="20">
                  <c:v>58.96101</c:v>
                </c:pt>
                <c:pt idx="21">
                  <c:v>58.64541</c:v>
                </c:pt>
                <c:pt idx="22">
                  <c:v>59.44466</c:v>
                </c:pt>
                <c:pt idx="23">
                  <c:v>59.8071</c:v>
                </c:pt>
                <c:pt idx="24">
                  <c:v>60.05487</c:v>
                </c:pt>
                <c:pt idx="25">
                  <c:v>59.96643</c:v>
                </c:pt>
                <c:pt idx="26">
                  <c:v>60.63713</c:v>
                </c:pt>
                <c:pt idx="27">
                  <c:v>60.91302</c:v>
                </c:pt>
                <c:pt idx="28">
                  <c:v>60.64153</c:v>
                </c:pt>
                <c:pt idx="29">
                  <c:v>60.35856</c:v>
                </c:pt>
                <c:pt idx="30">
                  <c:v>61.32008</c:v>
                </c:pt>
                <c:pt idx="31">
                  <c:v>61.55642</c:v>
                </c:pt>
                <c:pt idx="32">
                  <c:v>61.22142</c:v>
                </c:pt>
                <c:pt idx="33">
                  <c:v>61.3328</c:v>
                </c:pt>
                <c:pt idx="34">
                  <c:v>61.82689</c:v>
                </c:pt>
                <c:pt idx="35">
                  <c:v>62.25297</c:v>
                </c:pt>
                <c:pt idx="36">
                  <c:v>61.57219</c:v>
                </c:pt>
                <c:pt idx="37">
                  <c:v>61.84826</c:v>
                </c:pt>
                <c:pt idx="38">
                  <c:v>62.71924</c:v>
                </c:pt>
                <c:pt idx="39">
                  <c:v>64.17278</c:v>
                </c:pt>
                <c:pt idx="40">
                  <c:v>63.85172</c:v>
                </c:pt>
                <c:pt idx="41">
                  <c:v>67.28455</c:v>
                </c:pt>
                <c:pt idx="42">
                  <c:v>73.24515</c:v>
                </c:pt>
                <c:pt idx="43">
                  <c:v>77.10496</c:v>
                </c:pt>
                <c:pt idx="44">
                  <c:v>80.28013</c:v>
                </c:pt>
                <c:pt idx="45">
                  <c:v>82.42733</c:v>
                </c:pt>
                <c:pt idx="46">
                  <c:v>84.02935</c:v>
                </c:pt>
                <c:pt idx="47">
                  <c:v>86.51175</c:v>
                </c:pt>
                <c:pt idx="48">
                  <c:v>88.12832</c:v>
                </c:pt>
                <c:pt idx="49">
                  <c:v>89.56528</c:v>
                </c:pt>
                <c:pt idx="50">
                  <c:v>91.61134</c:v>
                </c:pt>
                <c:pt idx="51">
                  <c:v>92.95614</c:v>
                </c:pt>
                <c:pt idx="52">
                  <c:v>92.1938</c:v>
                </c:pt>
                <c:pt idx="53">
                  <c:v>94.52098</c:v>
                </c:pt>
                <c:pt idx="54">
                  <c:v>96.09072</c:v>
                </c:pt>
                <c:pt idx="55">
                  <c:v>97.12308</c:v>
                </c:pt>
                <c:pt idx="56">
                  <c:v>97.82763</c:v>
                </c:pt>
                <c:pt idx="57">
                  <c:v>98.44787</c:v>
                </c:pt>
                <c:pt idx="58">
                  <c:v>100.07497</c:v>
                </c:pt>
                <c:pt idx="59">
                  <c:v>100.73997</c:v>
                </c:pt>
                <c:pt idx="60">
                  <c:v>100.05758</c:v>
                </c:pt>
                <c:pt idx="61">
                  <c:v>98.72797</c:v>
                </c:pt>
                <c:pt idx="62">
                  <c:v>99.79118</c:v>
                </c:pt>
                <c:pt idx="63">
                  <c:v>102.34617</c:v>
                </c:pt>
                <c:pt idx="64">
                  <c:v>100.6513</c:v>
                </c:pt>
                <c:pt idx="65">
                  <c:v>100.11145</c:v>
                </c:pt>
                <c:pt idx="66">
                  <c:v>101.2805</c:v>
                </c:pt>
                <c:pt idx="67">
                  <c:v>100.49009</c:v>
                </c:pt>
                <c:pt idx="68">
                  <c:v>99.30094</c:v>
                </c:pt>
                <c:pt idx="69">
                  <c:v>98.63595</c:v>
                </c:pt>
                <c:pt idx="70">
                  <c:v>102.64192</c:v>
                </c:pt>
                <c:pt idx="71">
                  <c:v>103.98904</c:v>
                </c:pt>
                <c:pt idx="72">
                  <c:v>103.58005</c:v>
                </c:pt>
                <c:pt idx="73">
                  <c:v>103.60355</c:v>
                </c:pt>
                <c:pt idx="74">
                  <c:v>104.64891</c:v>
                </c:pt>
                <c:pt idx="75">
                  <c:v>102.93741</c:v>
                </c:pt>
                <c:pt idx="76">
                  <c:v>102.08817</c:v>
                </c:pt>
                <c:pt idx="77">
                  <c:v>102.80463</c:v>
                </c:pt>
                <c:pt idx="78">
                  <c:v>102.27408</c:v>
                </c:pt>
                <c:pt idx="79">
                  <c:v>103.74395</c:v>
                </c:pt>
                <c:pt idx="80">
                  <c:v>102.98411</c:v>
                </c:pt>
                <c:pt idx="81">
                  <c:v>103.4489</c:v>
                </c:pt>
                <c:pt idx="82">
                  <c:v>105.04941</c:v>
                </c:pt>
                <c:pt idx="83">
                  <c:v>104.34017</c:v>
                </c:pt>
                <c:pt idx="84">
                  <c:v>102.92245</c:v>
                </c:pt>
                <c:pt idx="85">
                  <c:v>104.61492</c:v>
                </c:pt>
                <c:pt idx="86">
                  <c:v>105.78193</c:v>
                </c:pt>
                <c:pt idx="87">
                  <c:v>106.77007</c:v>
                </c:pt>
                <c:pt idx="88">
                  <c:v>132.66287</c:v>
                </c:pt>
                <c:pt idx="89">
                  <c:v>124.14692</c:v>
                </c:pt>
                <c:pt idx="90">
                  <c:v>125.62864</c:v>
                </c:pt>
                <c:pt idx="91">
                  <c:v>124.03752</c:v>
                </c:pt>
                <c:pt idx="92">
                  <c:v>121.78582</c:v>
                </c:pt>
                <c:pt idx="93">
                  <c:v>118.54086</c:v>
                </c:pt>
                <c:pt idx="94">
                  <c:v>119.3588</c:v>
                </c:pt>
                <c:pt idx="95">
                  <c:v>120.39819</c:v>
                </c:pt>
                <c:pt idx="96">
                  <c:v>118.20207</c:v>
                </c:pt>
                <c:pt idx="97">
                  <c:v>117.43832</c:v>
                </c:pt>
                <c:pt idx="98">
                  <c:v>117.36678</c:v>
                </c:pt>
                <c:pt idx="99">
                  <c:v>115.58614</c:v>
                </c:pt>
                <c:pt idx="100">
                  <c:v>117.44355</c:v>
                </c:pt>
                <c:pt idx="101">
                  <c:v>118.13897</c:v>
                </c:pt>
                <c:pt idx="102">
                  <c:v>119.61944</c:v>
                </c:pt>
                <c:pt idx="103">
                  <c:v>120.47631</c:v>
                </c:pt>
                <c:pt idx="104">
                  <c:v>119.50314</c:v>
                </c:pt>
                <c:pt idx="105">
                  <c:v>120.17172</c:v>
                </c:pt>
                <c:pt idx="106">
                  <c:v>121.43633</c:v>
                </c:pt>
                <c:pt idx="107">
                  <c:v>120.54515</c:v>
                </c:pt>
                <c:pt idx="108">
                  <c:v>118.78171</c:v>
                </c:pt>
                <c:pt idx="109">
                  <c:v>121.02875</c:v>
                </c:pt>
                <c:pt idx="110">
                  <c:v>122.56815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'US Fiscal Arithmetic'!L4</c:f>
              <c:strCache>
                <c:ptCount val="1"/>
                <c:pt idx="0">
                  <c:v>OBSERVED d_t (% GDP)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Arithmetic'!$L$5:$L$115</c:f>
              <c:numCache>
                <c:formatCode>0.0000</c:formatCode>
                <c:ptCount val="111"/>
                <c:pt idx="1">
                  <c:v>60.58693</c:v>
                </c:pt>
                <c:pt idx="2">
                  <c:v>60.40696</c:v>
                </c:pt>
                <c:pt idx="3">
                  <c:v>60.04894</c:v>
                </c:pt>
                <c:pt idx="4">
                  <c:v>59.19227</c:v>
                </c:pt>
                <c:pt idx="5">
                  <c:v>58.39258</c:v>
                </c:pt>
                <c:pt idx="6">
                  <c:v>58.34336</c:v>
                </c:pt>
                <c:pt idx="7">
                  <c:v>57.72134</c:v>
                </c:pt>
                <c:pt idx="8">
                  <c:v>55.48491</c:v>
                </c:pt>
                <c:pt idx="9">
                  <c:v>54.99213</c:v>
                </c:pt>
                <c:pt idx="10">
                  <c:v>54.2579</c:v>
                </c:pt>
                <c:pt idx="11">
                  <c:v>55.14434</c:v>
                </c:pt>
                <c:pt idx="12">
                  <c:v>54.03165</c:v>
                </c:pt>
                <c:pt idx="13">
                  <c:v>54.79763</c:v>
                </c:pt>
                <c:pt idx="14">
                  <c:v>55.75216</c:v>
                </c:pt>
                <c:pt idx="15">
                  <c:v>55.6965</c:v>
                </c:pt>
                <c:pt idx="16">
                  <c:v>56.27087</c:v>
                </c:pt>
                <c:pt idx="17">
                  <c:v>56.7026</c:v>
                </c:pt>
                <c:pt idx="18">
                  <c:v>57.91028</c:v>
                </c:pt>
                <c:pt idx="19">
                  <c:v>57.81906</c:v>
                </c:pt>
                <c:pt idx="20">
                  <c:v>58.96101</c:v>
                </c:pt>
                <c:pt idx="21">
                  <c:v>58.64541</c:v>
                </c:pt>
                <c:pt idx="22">
                  <c:v>59.44466</c:v>
                </c:pt>
                <c:pt idx="23">
                  <c:v>59.8071</c:v>
                </c:pt>
                <c:pt idx="24">
                  <c:v>60.05487</c:v>
                </c:pt>
                <c:pt idx="25">
                  <c:v>59.96643</c:v>
                </c:pt>
                <c:pt idx="26">
                  <c:v>60.63713</c:v>
                </c:pt>
                <c:pt idx="27">
                  <c:v>60.91302</c:v>
                </c:pt>
                <c:pt idx="28">
                  <c:v>60.64153</c:v>
                </c:pt>
                <c:pt idx="29">
                  <c:v>60.35856</c:v>
                </c:pt>
                <c:pt idx="30">
                  <c:v>61.32008</c:v>
                </c:pt>
                <c:pt idx="31">
                  <c:v>61.55642</c:v>
                </c:pt>
                <c:pt idx="32">
                  <c:v>61.22142</c:v>
                </c:pt>
                <c:pt idx="33">
                  <c:v>61.3328</c:v>
                </c:pt>
                <c:pt idx="34">
                  <c:v>61.82689</c:v>
                </c:pt>
                <c:pt idx="35">
                  <c:v>62.25297</c:v>
                </c:pt>
                <c:pt idx="36">
                  <c:v>61.57219</c:v>
                </c:pt>
                <c:pt idx="37">
                  <c:v>61.84826</c:v>
                </c:pt>
                <c:pt idx="38">
                  <c:v>62.71924</c:v>
                </c:pt>
                <c:pt idx="39">
                  <c:v>64.17278</c:v>
                </c:pt>
                <c:pt idx="40">
                  <c:v>63.85172</c:v>
                </c:pt>
                <c:pt idx="41">
                  <c:v>67.28455</c:v>
                </c:pt>
                <c:pt idx="42">
                  <c:v>73.24515</c:v>
                </c:pt>
                <c:pt idx="43">
                  <c:v>77.10496</c:v>
                </c:pt>
                <c:pt idx="44">
                  <c:v>80.28013</c:v>
                </c:pt>
                <c:pt idx="45">
                  <c:v>82.42733</c:v>
                </c:pt>
                <c:pt idx="46">
                  <c:v>84.02935</c:v>
                </c:pt>
                <c:pt idx="47">
                  <c:v>86.51175</c:v>
                </c:pt>
                <c:pt idx="48">
                  <c:v>88.12832</c:v>
                </c:pt>
                <c:pt idx="49">
                  <c:v>89.56528</c:v>
                </c:pt>
                <c:pt idx="50">
                  <c:v>91.61134</c:v>
                </c:pt>
                <c:pt idx="51">
                  <c:v>92.95614</c:v>
                </c:pt>
                <c:pt idx="52">
                  <c:v>92.1938</c:v>
                </c:pt>
                <c:pt idx="53">
                  <c:v>94.52098</c:v>
                </c:pt>
                <c:pt idx="54">
                  <c:v>96.09072</c:v>
                </c:pt>
                <c:pt idx="55">
                  <c:v>97.12308</c:v>
                </c:pt>
                <c:pt idx="56">
                  <c:v>97.82763</c:v>
                </c:pt>
                <c:pt idx="57">
                  <c:v>98.44787</c:v>
                </c:pt>
                <c:pt idx="58">
                  <c:v>100.07497</c:v>
                </c:pt>
                <c:pt idx="59">
                  <c:v>100.73997</c:v>
                </c:pt>
                <c:pt idx="60">
                  <c:v>100.05758</c:v>
                </c:pt>
                <c:pt idx="61">
                  <c:v>98.72797</c:v>
                </c:pt>
                <c:pt idx="62">
                  <c:v>99.79118</c:v>
                </c:pt>
                <c:pt idx="63">
                  <c:v>102.34617</c:v>
                </c:pt>
                <c:pt idx="64">
                  <c:v>100.6513</c:v>
                </c:pt>
                <c:pt idx="65">
                  <c:v>100.11145</c:v>
                </c:pt>
                <c:pt idx="66">
                  <c:v>101.2805</c:v>
                </c:pt>
                <c:pt idx="67">
                  <c:v>100.49009</c:v>
                </c:pt>
                <c:pt idx="68">
                  <c:v>99.30094</c:v>
                </c:pt>
                <c:pt idx="69">
                  <c:v>98.63595</c:v>
                </c:pt>
                <c:pt idx="70">
                  <c:v>102.64192</c:v>
                </c:pt>
                <c:pt idx="71">
                  <c:v>103.98904</c:v>
                </c:pt>
                <c:pt idx="72">
                  <c:v>103.58005</c:v>
                </c:pt>
                <c:pt idx="73">
                  <c:v>103.60355</c:v>
                </c:pt>
                <c:pt idx="74">
                  <c:v>104.64891</c:v>
                </c:pt>
                <c:pt idx="75">
                  <c:v>102.93741</c:v>
                </c:pt>
                <c:pt idx="76">
                  <c:v>102.08817</c:v>
                </c:pt>
                <c:pt idx="77">
                  <c:v>102.80463</c:v>
                </c:pt>
                <c:pt idx="78">
                  <c:v>102.27408</c:v>
                </c:pt>
                <c:pt idx="79">
                  <c:v>103.74395</c:v>
                </c:pt>
                <c:pt idx="80">
                  <c:v>102.98411</c:v>
                </c:pt>
                <c:pt idx="81">
                  <c:v>103.4489</c:v>
                </c:pt>
                <c:pt idx="82">
                  <c:v>105.04941</c:v>
                </c:pt>
                <c:pt idx="83">
                  <c:v>104.34017</c:v>
                </c:pt>
                <c:pt idx="84">
                  <c:v>102.92245</c:v>
                </c:pt>
                <c:pt idx="85">
                  <c:v>104.61492</c:v>
                </c:pt>
                <c:pt idx="86">
                  <c:v>105.78193</c:v>
                </c:pt>
                <c:pt idx="87">
                  <c:v>106.77007</c:v>
                </c:pt>
                <c:pt idx="88">
                  <c:v>132.66287</c:v>
                </c:pt>
                <c:pt idx="89">
                  <c:v>124.14692</c:v>
                </c:pt>
                <c:pt idx="90">
                  <c:v>125.62864</c:v>
                </c:pt>
                <c:pt idx="91">
                  <c:v>124.03752</c:v>
                </c:pt>
                <c:pt idx="92">
                  <c:v>121.78582</c:v>
                </c:pt>
                <c:pt idx="93">
                  <c:v>118.54086</c:v>
                </c:pt>
                <c:pt idx="94">
                  <c:v>119.3588</c:v>
                </c:pt>
                <c:pt idx="95">
                  <c:v>120.39819</c:v>
                </c:pt>
                <c:pt idx="96">
                  <c:v>118.20207</c:v>
                </c:pt>
                <c:pt idx="97">
                  <c:v>117.43832</c:v>
                </c:pt>
                <c:pt idx="98">
                  <c:v>117.36678</c:v>
                </c:pt>
                <c:pt idx="99">
                  <c:v>115.58614</c:v>
                </c:pt>
                <c:pt idx="100">
                  <c:v>117.44355</c:v>
                </c:pt>
                <c:pt idx="101">
                  <c:v>118.13897</c:v>
                </c:pt>
                <c:pt idx="102">
                  <c:v>119.61944</c:v>
                </c:pt>
                <c:pt idx="103">
                  <c:v>120.47631</c:v>
                </c:pt>
                <c:pt idx="104">
                  <c:v>119.50314</c:v>
                </c:pt>
                <c:pt idx="105">
                  <c:v>120.17172</c:v>
                </c:pt>
                <c:pt idx="106">
                  <c:v>121.43633</c:v>
                </c:pt>
                <c:pt idx="107">
                  <c:v>120.54515</c:v>
                </c:pt>
                <c:pt idx="108">
                  <c:v>118.78171</c:v>
                </c:pt>
                <c:pt idx="109">
                  <c:v>121.02875</c:v>
                </c:pt>
                <c:pt idx="110">
                  <c:v>122.56815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596412"/>
        <c:axId val="6998305"/>
      </c:lineChart>
      <c:catAx>
        <c:axId val="48596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8305"/>
        <c:crosses val="autoZero"/>
        <c:auto val="1"/>
        <c:lblAlgn val="ctr"/>
        <c:lblOffset val="100"/>
        <c:noMultiLvlLbl val="0"/>
      </c:catAx>
      <c:valAx>
        <c:axId val="6998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96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US: debt service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Fiscal Arithmetic'!C4</c:f>
              <c:strCache>
                <c:ptCount val="1"/>
                <c:pt idx="0">
                  <c:v>DSVC = interest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Arithmetic'!$C$5:$C$115</c:f>
              <c:numCache>
                <c:formatCode>0.0000</c:formatCode>
                <c:ptCount val="111"/>
                <c:pt idx="1">
                  <c:v>4.08267880560987</c:v>
                </c:pt>
                <c:pt idx="2">
                  <c:v>3.94785846483159</c:v>
                </c:pt>
                <c:pt idx="3">
                  <c:v>3.79380612699109</c:v>
                </c:pt>
                <c:pt idx="4">
                  <c:v>3.7415310037037</c:v>
                </c:pt>
                <c:pt idx="5">
                  <c:v>3.68533761065523</c:v>
                </c:pt>
                <c:pt idx="6">
                  <c:v>3.64342548168991</c:v>
                </c:pt>
                <c:pt idx="7">
                  <c:v>3.58399942465629</c:v>
                </c:pt>
                <c:pt idx="8">
                  <c:v>3.54031856458478</c:v>
                </c:pt>
                <c:pt idx="9">
                  <c:v>3.44346840077598</c:v>
                </c:pt>
                <c:pt idx="10">
                  <c:v>3.42216857357873</c:v>
                </c:pt>
                <c:pt idx="11">
                  <c:v>3.31053540600459</c:v>
                </c:pt>
                <c:pt idx="12">
                  <c:v>3.19740796549761</c:v>
                </c:pt>
                <c:pt idx="13">
                  <c:v>3.08355505236343</c:v>
                </c:pt>
                <c:pt idx="14">
                  <c:v>2.99887148731556</c:v>
                </c:pt>
                <c:pt idx="15">
                  <c:v>2.86039117430619</c:v>
                </c:pt>
                <c:pt idx="16">
                  <c:v>2.8001854685399</c:v>
                </c:pt>
                <c:pt idx="17">
                  <c:v>2.75720875208726</c:v>
                </c:pt>
                <c:pt idx="18">
                  <c:v>2.71308188972364</c:v>
                </c:pt>
                <c:pt idx="19">
                  <c:v>2.62889989027642</c:v>
                </c:pt>
                <c:pt idx="20">
                  <c:v>2.59816223707459</c:v>
                </c:pt>
                <c:pt idx="21">
                  <c:v>2.57814048306135</c:v>
                </c:pt>
                <c:pt idx="22">
                  <c:v>2.54271994815448</c:v>
                </c:pt>
                <c:pt idx="23">
                  <c:v>2.53037783652619</c:v>
                </c:pt>
                <c:pt idx="24">
                  <c:v>2.51320779972436</c:v>
                </c:pt>
                <c:pt idx="25">
                  <c:v>2.54407418919549</c:v>
                </c:pt>
                <c:pt idx="26">
                  <c:v>2.5873877019078</c:v>
                </c:pt>
                <c:pt idx="27">
                  <c:v>2.62953119504464</c:v>
                </c:pt>
                <c:pt idx="28">
                  <c:v>2.69111226927947</c:v>
                </c:pt>
                <c:pt idx="29">
                  <c:v>2.70244754638675</c:v>
                </c:pt>
                <c:pt idx="30">
                  <c:v>2.70327686016252</c:v>
                </c:pt>
                <c:pt idx="31">
                  <c:v>2.68840825313092</c:v>
                </c:pt>
                <c:pt idx="32">
                  <c:v>2.7017477550084</c:v>
                </c:pt>
                <c:pt idx="33">
                  <c:v>2.73603867662336</c:v>
                </c:pt>
                <c:pt idx="34">
                  <c:v>2.78961611767627</c:v>
                </c:pt>
                <c:pt idx="35">
                  <c:v>2.82066531999578</c:v>
                </c:pt>
                <c:pt idx="36">
                  <c:v>2.86947112024627</c:v>
                </c:pt>
                <c:pt idx="37">
                  <c:v>2.8757231072563</c:v>
                </c:pt>
                <c:pt idx="38">
                  <c:v>2.84140123290688</c:v>
                </c:pt>
                <c:pt idx="39">
                  <c:v>2.74190560444954</c:v>
                </c:pt>
                <c:pt idx="40">
                  <c:v>2.64066906841025</c:v>
                </c:pt>
                <c:pt idx="41">
                  <c:v>2.57069612795253</c:v>
                </c:pt>
                <c:pt idx="42">
                  <c:v>2.54791613852716</c:v>
                </c:pt>
                <c:pt idx="43">
                  <c:v>2.47716198474433</c:v>
                </c:pt>
                <c:pt idx="44">
                  <c:v>2.44013853049518</c:v>
                </c:pt>
                <c:pt idx="45">
                  <c:v>2.43593109799464</c:v>
                </c:pt>
                <c:pt idx="46">
                  <c:v>2.44870848831072</c:v>
                </c:pt>
                <c:pt idx="47">
                  <c:v>2.45888934110669</c:v>
                </c:pt>
                <c:pt idx="48">
                  <c:v>2.5529289293791</c:v>
                </c:pt>
                <c:pt idx="49">
                  <c:v>2.598411115264</c:v>
                </c:pt>
                <c:pt idx="50">
                  <c:v>2.6385178270708</c:v>
                </c:pt>
                <c:pt idx="51">
                  <c:v>2.68333843474962</c:v>
                </c:pt>
                <c:pt idx="52">
                  <c:v>2.7683838032738</c:v>
                </c:pt>
                <c:pt idx="53">
                  <c:v>2.78080614163975</c:v>
                </c:pt>
                <c:pt idx="54">
                  <c:v>2.76942013129103</c:v>
                </c:pt>
                <c:pt idx="55">
                  <c:v>2.70380000730956</c:v>
                </c:pt>
                <c:pt idx="56">
                  <c:v>2.6407999848153</c:v>
                </c:pt>
                <c:pt idx="57">
                  <c:v>2.5974641384355</c:v>
                </c:pt>
                <c:pt idx="58">
                  <c:v>2.55420173888469</c:v>
                </c:pt>
                <c:pt idx="59">
                  <c:v>2.50329787565104</c:v>
                </c:pt>
                <c:pt idx="60">
                  <c:v>2.47779503224044</c:v>
                </c:pt>
                <c:pt idx="61">
                  <c:v>2.49118176459396</c:v>
                </c:pt>
                <c:pt idx="62">
                  <c:v>2.50681291162508</c:v>
                </c:pt>
                <c:pt idx="63">
                  <c:v>2.51251467323297</c:v>
                </c:pt>
                <c:pt idx="64">
                  <c:v>2.55863300161917</c:v>
                </c:pt>
                <c:pt idx="65">
                  <c:v>2.52365669496512</c:v>
                </c:pt>
                <c:pt idx="66">
                  <c:v>2.4841459006254</c:v>
                </c:pt>
                <c:pt idx="67">
                  <c:v>2.3932956079526</c:v>
                </c:pt>
                <c:pt idx="68">
                  <c:v>2.35766222646749</c:v>
                </c:pt>
                <c:pt idx="69">
                  <c:v>2.34073334783387</c:v>
                </c:pt>
                <c:pt idx="70">
                  <c:v>2.36219342790686</c:v>
                </c:pt>
                <c:pt idx="71">
                  <c:v>2.4205136094188</c:v>
                </c:pt>
                <c:pt idx="72">
                  <c:v>2.4467917486261</c:v>
                </c:pt>
                <c:pt idx="73">
                  <c:v>2.44506886653069</c:v>
                </c:pt>
                <c:pt idx="74">
                  <c:v>2.435784646073</c:v>
                </c:pt>
                <c:pt idx="75">
                  <c:v>2.41322150919629</c:v>
                </c:pt>
                <c:pt idx="76">
                  <c:v>2.44404536826707</c:v>
                </c:pt>
                <c:pt idx="77">
                  <c:v>2.47680355053591</c:v>
                </c:pt>
                <c:pt idx="78">
                  <c:v>2.50571852008331</c:v>
                </c:pt>
                <c:pt idx="79">
                  <c:v>2.53339706847622</c:v>
                </c:pt>
                <c:pt idx="80">
                  <c:v>2.61591663705725</c:v>
                </c:pt>
                <c:pt idx="81">
                  <c:v>2.68156726971089</c:v>
                </c:pt>
                <c:pt idx="82">
                  <c:v>2.74646096179911</c:v>
                </c:pt>
                <c:pt idx="83">
                  <c:v>2.77138199607063</c:v>
                </c:pt>
                <c:pt idx="84">
                  <c:v>2.77766251728907</c:v>
                </c:pt>
                <c:pt idx="85">
                  <c:v>2.70239123040734</c:v>
                </c:pt>
                <c:pt idx="86">
                  <c:v>2.598133062543</c:v>
                </c:pt>
                <c:pt idx="87">
                  <c:v>2.48081255020638</c:v>
                </c:pt>
                <c:pt idx="88">
                  <c:v>2.36647219804224</c:v>
                </c:pt>
                <c:pt idx="89">
                  <c:v>2.5453632277433</c:v>
                </c:pt>
                <c:pt idx="90">
                  <c:v>2.38066990634219</c:v>
                </c:pt>
                <c:pt idx="91">
                  <c:v>2.41551199882647</c:v>
                </c:pt>
                <c:pt idx="92">
                  <c:v>2.47185568800742</c:v>
                </c:pt>
                <c:pt idx="93">
                  <c:v>2.50969972991444</c:v>
                </c:pt>
                <c:pt idx="94">
                  <c:v>2.55304947019643</c:v>
                </c:pt>
                <c:pt idx="95">
                  <c:v>2.56701163877873</c:v>
                </c:pt>
                <c:pt idx="96">
                  <c:v>2.71187560313528</c:v>
                </c:pt>
                <c:pt idx="97">
                  <c:v>2.90813390143076</c:v>
                </c:pt>
                <c:pt idx="98">
                  <c:v>3.12536641436095</c:v>
                </c:pt>
                <c:pt idx="99">
                  <c:v>3.21722250084552</c:v>
                </c:pt>
                <c:pt idx="100">
                  <c:v>3.28516821355618</c:v>
                </c:pt>
                <c:pt idx="101">
                  <c:v>3.51215789434493</c:v>
                </c:pt>
                <c:pt idx="102">
                  <c:v>3.67402905789759</c:v>
                </c:pt>
                <c:pt idx="103">
                  <c:v>3.76845901958162</c:v>
                </c:pt>
                <c:pt idx="104">
                  <c:v>3.84408113079762</c:v>
                </c:pt>
                <c:pt idx="105">
                  <c:v>3.93241249438537</c:v>
                </c:pt>
                <c:pt idx="106">
                  <c:v>3.9157941077128</c:v>
                </c:pt>
                <c:pt idx="107">
                  <c:v>3.83639570078734</c:v>
                </c:pt>
                <c:pt idx="108">
                  <c:v>3.86424217231325</c:v>
                </c:pt>
                <c:pt idx="109">
                  <c:v>3.93360775463168</c:v>
                </c:pt>
                <c:pt idx="110">
                  <c:v>3.94717967155923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600939"/>
        <c:axId val="13752257"/>
      </c:lineChart>
      <c:catAx>
        <c:axId val="79600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52257"/>
        <c:crosses val="autoZero"/>
        <c:auto val="1"/>
        <c:lblAlgn val="ctr"/>
        <c:lblOffset val="100"/>
        <c:noMultiLvlLbl val="0"/>
      </c:catAx>
      <c:valAx>
        <c:axId val="13752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009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US: effective interest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Fiscal Arithmetic'!D4</c:f>
              <c:strCache>
                <c:ptCount val="1"/>
                <c:pt idx="0">
                  <c:v>i_eff (% p.a.)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Arithmetic'!$D$5:$D$115</c:f>
              <c:numCache>
                <c:formatCode>0.0000</c:formatCode>
                <c:ptCount val="111"/>
                <c:pt idx="1">
                  <c:v>6.7385470853365</c:v>
                </c:pt>
                <c:pt idx="2">
                  <c:v>6.51602328230129</c:v>
                </c:pt>
                <c:pt idx="3">
                  <c:v>6.28041226870395</c:v>
                </c:pt>
                <c:pt idx="4">
                  <c:v>6.23080274806465</c:v>
                </c:pt>
                <c:pt idx="5">
                  <c:v>6.22604541210404</c:v>
                </c:pt>
                <c:pt idx="6">
                  <c:v>6.23953502600829</c:v>
                </c:pt>
                <c:pt idx="7">
                  <c:v>6.14294312952886</c:v>
                </c:pt>
                <c:pt idx="8">
                  <c:v>6.13346565513687</c:v>
                </c:pt>
                <c:pt idx="9">
                  <c:v>6.20613496674317</c:v>
                </c:pt>
                <c:pt idx="10">
                  <c:v>6.22301513612717</c:v>
                </c:pt>
                <c:pt idx="11">
                  <c:v>6.10148090140716</c:v>
                </c:pt>
                <c:pt idx="12">
                  <c:v>5.79825230567201</c:v>
                </c:pt>
                <c:pt idx="13">
                  <c:v>5.70694223175385</c:v>
                </c:pt>
                <c:pt idx="14">
                  <c:v>5.47262990628528</c:v>
                </c:pt>
                <c:pt idx="15">
                  <c:v>5.13054772103213</c:v>
                </c:pt>
                <c:pt idx="16">
                  <c:v>5.027578875764</c:v>
                </c:pt>
                <c:pt idx="17">
                  <c:v>4.89988648138418</c:v>
                </c:pt>
                <c:pt idx="18">
                  <c:v>4.78475747095131</c:v>
                </c:pt>
                <c:pt idx="19">
                  <c:v>4.53960832217772</c:v>
                </c:pt>
                <c:pt idx="20">
                  <c:v>4.49360857314973</c:v>
                </c:pt>
                <c:pt idx="21">
                  <c:v>4.3726192666329</c:v>
                </c:pt>
                <c:pt idx="22">
                  <c:v>4.33575270111417</c:v>
                </c:pt>
                <c:pt idx="23">
                  <c:v>4.25669494371098</c:v>
                </c:pt>
                <c:pt idx="24">
                  <c:v>4.20218970611242</c:v>
                </c:pt>
                <c:pt idx="25">
                  <c:v>4.23624959840142</c:v>
                </c:pt>
                <c:pt idx="26">
                  <c:v>4.31472692622823</c:v>
                </c:pt>
                <c:pt idx="27">
                  <c:v>4.33650338504584</c:v>
                </c:pt>
                <c:pt idx="28">
                  <c:v>4.41795903286271</c:v>
                </c:pt>
                <c:pt idx="29">
                  <c:v>4.45643034795914</c:v>
                </c:pt>
                <c:pt idx="30">
                  <c:v>4.47869674187475</c:v>
                </c:pt>
                <c:pt idx="31">
                  <c:v>4.38422169888056</c:v>
                </c:pt>
                <c:pt idx="32">
                  <c:v>4.38905926466873</c:v>
                </c:pt>
                <c:pt idx="33">
                  <c:v>4.46908725185297</c:v>
                </c:pt>
                <c:pt idx="34">
                  <c:v>4.54832669905217</c:v>
                </c:pt>
                <c:pt idx="35">
                  <c:v>4.5621982926778</c:v>
                </c:pt>
                <c:pt idx="36">
                  <c:v>4.609372244001</c:v>
                </c:pt>
                <c:pt idx="37">
                  <c:v>4.67049021198742</c:v>
                </c:pt>
                <c:pt idx="38">
                  <c:v>4.59414902360532</c:v>
                </c:pt>
                <c:pt idx="39">
                  <c:v>4.37171369495156</c:v>
                </c:pt>
                <c:pt idx="40">
                  <c:v>4.1149363770905</c:v>
                </c:pt>
                <c:pt idx="41">
                  <c:v>4.02604053258476</c:v>
                </c:pt>
                <c:pt idx="42">
                  <c:v>3.78677740807832</c:v>
                </c:pt>
                <c:pt idx="43">
                  <c:v>3.38201503409349</c:v>
                </c:pt>
                <c:pt idx="44">
                  <c:v>3.16469722634599</c:v>
                </c:pt>
                <c:pt idx="45">
                  <c:v>3.03428893051697</c:v>
                </c:pt>
                <c:pt idx="46">
                  <c:v>2.97074828010409</c:v>
                </c:pt>
                <c:pt idx="47">
                  <c:v>2.92622677803254</c:v>
                </c:pt>
                <c:pt idx="48">
                  <c:v>2.95096207090841</c:v>
                </c:pt>
                <c:pt idx="49">
                  <c:v>2.94844054131975</c:v>
                </c:pt>
                <c:pt idx="50">
                  <c:v>2.94591590298249</c:v>
                </c:pt>
                <c:pt idx="51">
                  <c:v>2.92904615820445</c:v>
                </c:pt>
                <c:pt idx="52">
                  <c:v>2.97816131701876</c:v>
                </c:pt>
                <c:pt idx="53">
                  <c:v>3.01626155081985</c:v>
                </c:pt>
                <c:pt idx="54">
                  <c:v>2.92995283300176</c:v>
                </c:pt>
                <c:pt idx="55">
                  <c:v>2.81379930060839</c:v>
                </c:pt>
                <c:pt idx="56">
                  <c:v>2.71902413392913</c:v>
                </c:pt>
                <c:pt idx="57">
                  <c:v>2.6551436832677</c:v>
                </c:pt>
                <c:pt idx="58">
                  <c:v>2.59447130637229</c:v>
                </c:pt>
                <c:pt idx="59">
                  <c:v>2.50142255915844</c:v>
                </c:pt>
                <c:pt idx="60">
                  <c:v>2.45959476882954</c:v>
                </c:pt>
                <c:pt idx="61">
                  <c:v>2.48974816759905</c:v>
                </c:pt>
                <c:pt idx="62">
                  <c:v>2.53911116740786</c:v>
                </c:pt>
                <c:pt idx="63">
                  <c:v>2.51777228531917</c:v>
                </c:pt>
                <c:pt idx="64">
                  <c:v>2.49997923871422</c:v>
                </c:pt>
                <c:pt idx="65">
                  <c:v>2.5073264776164</c:v>
                </c:pt>
                <c:pt idx="66">
                  <c:v>2.48138040216719</c:v>
                </c:pt>
                <c:pt idx="67">
                  <c:v>2.36303692018957</c:v>
                </c:pt>
                <c:pt idx="68">
                  <c:v>2.34616391175238</c:v>
                </c:pt>
                <c:pt idx="69">
                  <c:v>2.35721167174638</c:v>
                </c:pt>
                <c:pt idx="70">
                  <c:v>2.39486052286906</c:v>
                </c:pt>
                <c:pt idx="71">
                  <c:v>2.35821154691845</c:v>
                </c:pt>
                <c:pt idx="72">
                  <c:v>2.35293233654826</c:v>
                </c:pt>
                <c:pt idx="73">
                  <c:v>2.36055965075387</c:v>
                </c:pt>
                <c:pt idx="74">
                  <c:v>2.35106291828128</c:v>
                </c:pt>
                <c:pt idx="75">
                  <c:v>2.30601686075497</c:v>
                </c:pt>
                <c:pt idx="76">
                  <c:v>2.37430237293426</c:v>
                </c:pt>
                <c:pt idx="77">
                  <c:v>2.42614158970222</c:v>
                </c:pt>
                <c:pt idx="78">
                  <c:v>2.43735960149199</c:v>
                </c:pt>
                <c:pt idx="79">
                  <c:v>2.47706659250928</c:v>
                </c:pt>
                <c:pt idx="80">
                  <c:v>2.52151247090288</c:v>
                </c:pt>
                <c:pt idx="81">
                  <c:v>2.60386507171921</c:v>
                </c:pt>
                <c:pt idx="82">
                  <c:v>2.65489624519846</c:v>
                </c:pt>
                <c:pt idx="83">
                  <c:v>2.63816997741409</c:v>
                </c:pt>
                <c:pt idx="84">
                  <c:v>2.66212190117102</c:v>
                </c:pt>
                <c:pt idx="85">
                  <c:v>2.62565769704019</c:v>
                </c:pt>
                <c:pt idx="86">
                  <c:v>2.48352057483101</c:v>
                </c:pt>
                <c:pt idx="87">
                  <c:v>2.34521392283766</c:v>
                </c:pt>
                <c:pt idx="88">
                  <c:v>2.21641907516052</c:v>
                </c:pt>
                <c:pt idx="89">
                  <c:v>1.91867040698222</c:v>
                </c:pt>
                <c:pt idx="90">
                  <c:v>1.9176230117849</c:v>
                </c:pt>
                <c:pt idx="91">
                  <c:v>1.92273990932837</c:v>
                </c:pt>
                <c:pt idx="92">
                  <c:v>1.99282901496855</c:v>
                </c:pt>
                <c:pt idx="93">
                  <c:v>2.06074872256429</c:v>
                </c:pt>
                <c:pt idx="94">
                  <c:v>2.15372949900687</c:v>
                </c:pt>
                <c:pt idx="95">
                  <c:v>2.15066810220841</c:v>
                </c:pt>
                <c:pt idx="96">
                  <c:v>2.25242223586191</c:v>
                </c:pt>
                <c:pt idx="97">
                  <c:v>2.46030708381905</c:v>
                </c:pt>
                <c:pt idx="98">
                  <c:v>2.66128331396511</c:v>
                </c:pt>
                <c:pt idx="99">
                  <c:v>2.74116960595283</c:v>
                </c:pt>
                <c:pt idx="100">
                  <c:v>2.84218178196467</c:v>
                </c:pt>
                <c:pt idx="101">
                  <c:v>2.99050726442187</c:v>
                </c:pt>
                <c:pt idx="102">
                  <c:v>3.1099213560924</c:v>
                </c:pt>
                <c:pt idx="103">
                  <c:v>3.15037340049545</c:v>
                </c:pt>
                <c:pt idx="104">
                  <c:v>3.19073611301476</c:v>
                </c:pt>
                <c:pt idx="105">
                  <c:v>3.29063528739526</c:v>
                </c:pt>
                <c:pt idx="106">
                  <c:v>3.25849884458074</c:v>
                </c:pt>
                <c:pt idx="107">
                  <c:v>3.1591828415659</c:v>
                </c:pt>
                <c:pt idx="108">
                  <c:v>3.20563886005637</c:v>
                </c:pt>
                <c:pt idx="109">
                  <c:v>3.31162748425804</c:v>
                </c:pt>
                <c:pt idx="110">
                  <c:v>3.2613570507497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418653"/>
        <c:axId val="99294318"/>
      </c:lineChart>
      <c:catAx>
        <c:axId val="13418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94318"/>
        <c:crosses val="autoZero"/>
        <c:auto val="1"/>
        <c:lblAlgn val="ctr"/>
        <c:lblOffset val="100"/>
        <c:noMultiLvlLbl val="0"/>
      </c:catAx>
      <c:valAx>
        <c:axId val="99294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18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US: PROJECTED debt service DSVC with 16/84 band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Projection'!D4</c:f>
              <c:strCache>
                <c:ptCount val="1"/>
                <c:pt idx="0">
                  <c:v>DSVC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Projection'!$D$5:$D$25</c:f>
              <c:numCache>
                <c:formatCode>0.0000</c:formatCode>
                <c:ptCount val="21"/>
                <c:pt idx="1">
                  <c:v>3.95743</c:v>
                </c:pt>
                <c:pt idx="2">
                  <c:v>3.94955</c:v>
                </c:pt>
                <c:pt idx="3">
                  <c:v>3.95681</c:v>
                </c:pt>
                <c:pt idx="4">
                  <c:v>3.9784</c:v>
                </c:pt>
                <c:pt idx="5">
                  <c:v>4.01202</c:v>
                </c:pt>
                <c:pt idx="6">
                  <c:v>4.05644</c:v>
                </c:pt>
                <c:pt idx="7">
                  <c:v>4.1093</c:v>
                </c:pt>
                <c:pt idx="8">
                  <c:v>4.16857</c:v>
                </c:pt>
                <c:pt idx="9">
                  <c:v>4.23208</c:v>
                </c:pt>
                <c:pt idx="10">
                  <c:v>4.2981</c:v>
                </c:pt>
                <c:pt idx="11">
                  <c:v>4.3654</c:v>
                </c:pt>
                <c:pt idx="12">
                  <c:v>4.43274</c:v>
                </c:pt>
                <c:pt idx="13">
                  <c:v>4.49947</c:v>
                </c:pt>
                <c:pt idx="14">
                  <c:v>4.56515</c:v>
                </c:pt>
                <c:pt idx="15">
                  <c:v>4.62935</c:v>
                </c:pt>
                <c:pt idx="16">
                  <c:v>4.6918</c:v>
                </c:pt>
                <c:pt idx="17">
                  <c:v>4.75233</c:v>
                </c:pt>
                <c:pt idx="18">
                  <c:v>4.81093</c:v>
                </c:pt>
                <c:pt idx="19">
                  <c:v>4.86767</c:v>
                </c:pt>
                <c:pt idx="20">
                  <c:v>4.92276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'US Projection'!E4</c:f>
              <c:strCache>
                <c:ptCount val="1"/>
                <c:pt idx="0">
                  <c:v>DSVC q16 (% GDP)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Projection'!$E$5:$E$25</c:f>
              <c:numCache>
                <c:formatCode>0.0000</c:formatCode>
                <c:ptCount val="21"/>
                <c:pt idx="1">
                  <c:v>3.91915</c:v>
                </c:pt>
                <c:pt idx="2">
                  <c:v>3.88195</c:v>
                </c:pt>
                <c:pt idx="3">
                  <c:v>3.85117</c:v>
                </c:pt>
                <c:pt idx="4">
                  <c:v>3.83564</c:v>
                </c:pt>
                <c:pt idx="5">
                  <c:v>3.82215</c:v>
                </c:pt>
                <c:pt idx="6">
                  <c:v>3.81616</c:v>
                </c:pt>
                <c:pt idx="7">
                  <c:v>3.84083</c:v>
                </c:pt>
                <c:pt idx="8">
                  <c:v>3.86257</c:v>
                </c:pt>
                <c:pt idx="9">
                  <c:v>3.88557</c:v>
                </c:pt>
                <c:pt idx="10">
                  <c:v>3.89286</c:v>
                </c:pt>
                <c:pt idx="11">
                  <c:v>3.90904</c:v>
                </c:pt>
                <c:pt idx="12">
                  <c:v>3.94096</c:v>
                </c:pt>
                <c:pt idx="13">
                  <c:v>3.96408</c:v>
                </c:pt>
                <c:pt idx="14">
                  <c:v>3.98004</c:v>
                </c:pt>
                <c:pt idx="15">
                  <c:v>3.9915</c:v>
                </c:pt>
                <c:pt idx="16">
                  <c:v>4.00961</c:v>
                </c:pt>
                <c:pt idx="17">
                  <c:v>4.0154</c:v>
                </c:pt>
                <c:pt idx="18">
                  <c:v>4.0372</c:v>
                </c:pt>
                <c:pt idx="19">
                  <c:v>4.03449</c:v>
                </c:pt>
                <c:pt idx="20">
                  <c:v>4.02741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'US Projection'!F4</c:f>
              <c:strCache>
                <c:ptCount val="1"/>
                <c:pt idx="0">
                  <c:v>DSVC q84 (% GDP)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Projection'!$F$5:$F$25</c:f>
              <c:numCache>
                <c:formatCode>0.0000</c:formatCode>
                <c:ptCount val="21"/>
                <c:pt idx="1">
                  <c:v>3.99384</c:v>
                </c:pt>
                <c:pt idx="2">
                  <c:v>4.01306</c:v>
                </c:pt>
                <c:pt idx="3">
                  <c:v>4.05111</c:v>
                </c:pt>
                <c:pt idx="4">
                  <c:v>4.10417</c:v>
                </c:pt>
                <c:pt idx="5">
                  <c:v>4.18203</c:v>
                </c:pt>
                <c:pt idx="6">
                  <c:v>4.25917</c:v>
                </c:pt>
                <c:pt idx="7">
                  <c:v>4.34629</c:v>
                </c:pt>
                <c:pt idx="8">
                  <c:v>4.43066</c:v>
                </c:pt>
                <c:pt idx="9">
                  <c:v>4.5319</c:v>
                </c:pt>
                <c:pt idx="10">
                  <c:v>4.63641</c:v>
                </c:pt>
                <c:pt idx="11">
                  <c:v>4.74161</c:v>
                </c:pt>
                <c:pt idx="12">
                  <c:v>4.85809</c:v>
                </c:pt>
                <c:pt idx="13">
                  <c:v>4.99296</c:v>
                </c:pt>
                <c:pt idx="14">
                  <c:v>5.07877</c:v>
                </c:pt>
                <c:pt idx="15">
                  <c:v>5.18417</c:v>
                </c:pt>
                <c:pt idx="16">
                  <c:v>5.30038</c:v>
                </c:pt>
                <c:pt idx="17">
                  <c:v>5.40333</c:v>
                </c:pt>
                <c:pt idx="18">
                  <c:v>5.50022</c:v>
                </c:pt>
                <c:pt idx="19">
                  <c:v>5.60716</c:v>
                </c:pt>
                <c:pt idx="20">
                  <c:v>5.73599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418505"/>
        <c:axId val="34862698"/>
      </c:lineChart>
      <c:catAx>
        <c:axId val="87418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62698"/>
        <c:crosses val="autoZero"/>
        <c:auto val="1"/>
        <c:lblAlgn val="ctr"/>
        <c:lblOffset val="100"/>
        <c:noMultiLvlLbl val="0"/>
      </c:catAx>
      <c:valAx>
        <c:axId val="34862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18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US: PROJECTED debt/GDP (col M) ahead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Projection'!M4</c:f>
              <c:strCache>
                <c:ptCount val="1"/>
                <c:pt idx="0">
                  <c:v>d_t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Projection'!$M$5:$M$25</c:f>
              <c:numCache>
                <c:formatCode>0.0000</c:formatCode>
                <c:ptCount val="21"/>
                <c:pt idx="1">
                  <c:v>122.311725187527</c:v>
                </c:pt>
                <c:pt idx="2">
                  <c:v>121.770267208285</c:v>
                </c:pt>
                <c:pt idx="3">
                  <c:v>121.290094861462</c:v>
                </c:pt>
                <c:pt idx="4">
                  <c:v>120.806263462884</c:v>
                </c:pt>
                <c:pt idx="5">
                  <c:v>120.254546292115</c:v>
                </c:pt>
                <c:pt idx="6">
                  <c:v>119.601365334838</c:v>
                </c:pt>
                <c:pt idx="7">
                  <c:v>118.814506548513</c:v>
                </c:pt>
                <c:pt idx="8">
                  <c:v>117.916815425388</c:v>
                </c:pt>
                <c:pt idx="9">
                  <c:v>116.899184476732</c:v>
                </c:pt>
                <c:pt idx="10">
                  <c:v>115.775998202806</c:v>
                </c:pt>
                <c:pt idx="11">
                  <c:v>114.535649994906</c:v>
                </c:pt>
                <c:pt idx="12">
                  <c:v>113.186030122658</c:v>
                </c:pt>
                <c:pt idx="13">
                  <c:v>111.744314088676</c:v>
                </c:pt>
                <c:pt idx="14">
                  <c:v>110.223139302408</c:v>
                </c:pt>
                <c:pt idx="15">
                  <c:v>108.624111803151</c:v>
                </c:pt>
                <c:pt idx="16">
                  <c:v>106.963572408568</c:v>
                </c:pt>
                <c:pt idx="17">
                  <c:v>105.234433692864</c:v>
                </c:pt>
                <c:pt idx="18">
                  <c:v>103.453749270294</c:v>
                </c:pt>
                <c:pt idx="19">
                  <c:v>101.624228124431</c:v>
                </c:pt>
                <c:pt idx="20">
                  <c:v>99.7528011509515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43956"/>
        <c:axId val="58777130"/>
      </c:lineChart>
      <c:catAx>
        <c:axId val="46343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77130"/>
        <c:crosses val="autoZero"/>
        <c:auto val="1"/>
        <c:lblAlgn val="ctr"/>
        <c:lblOffset val="100"/>
        <c:noMultiLvlLbl val="0"/>
      </c:catAx>
      <c:valAx>
        <c:axId val="58777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43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US: PROJECTED effective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Projection'!K4</c:f>
              <c:strCache>
                <c:ptCount val="1"/>
                <c:pt idx="0">
                  <c:v>i_eff (% p.a.)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Projection'!$K$5:$K$25</c:f>
              <c:numCache>
                <c:formatCode>0.0000</c:formatCode>
                <c:ptCount val="21"/>
                <c:pt idx="1">
                  <c:v>3.22875885782726</c:v>
                </c:pt>
                <c:pt idx="2">
                  <c:v>3.22908535052106</c:v>
                </c:pt>
                <c:pt idx="3">
                  <c:v>3.24940569706722</c:v>
                </c:pt>
                <c:pt idx="4">
                  <c:v>3.28006998802676</c:v>
                </c:pt>
                <c:pt idx="5">
                  <c:v>3.321036414004</c:v>
                </c:pt>
                <c:pt idx="6">
                  <c:v>3.37321134632727</c:v>
                </c:pt>
                <c:pt idx="7">
                  <c:v>3.4358303423172</c:v>
                </c:pt>
                <c:pt idx="8">
                  <c:v>3.50846889078981</c:v>
                </c:pt>
                <c:pt idx="9">
                  <c:v>3.58903858176009</c:v>
                </c:pt>
                <c:pt idx="10">
                  <c:v>3.67675789975722</c:v>
                </c:pt>
                <c:pt idx="11">
                  <c:v>3.77055699606499</c:v>
                </c:pt>
                <c:pt idx="12">
                  <c:v>3.87018365041553</c:v>
                </c:pt>
                <c:pt idx="13">
                  <c:v>3.97528740527785</c:v>
                </c:pt>
                <c:pt idx="14">
                  <c:v>4.08535327925257</c:v>
                </c:pt>
                <c:pt idx="15">
                  <c:v>4.19998017594014</c:v>
                </c:pt>
                <c:pt idx="16">
                  <c:v>4.31929883901145</c:v>
                </c:pt>
                <c:pt idx="17">
                  <c:v>4.4429424831171</c:v>
                </c:pt>
                <c:pt idx="18">
                  <c:v>4.57163100629315</c:v>
                </c:pt>
                <c:pt idx="19">
                  <c:v>4.70516538485445</c:v>
                </c:pt>
                <c:pt idx="20">
                  <c:v>4.84408107284463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385380"/>
        <c:axId val="28292761"/>
      </c:lineChart>
      <c:catAx>
        <c:axId val="613853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92761"/>
        <c:crosses val="autoZero"/>
        <c:auto val="1"/>
        <c:lblAlgn val="ctr"/>
        <c:lblOffset val="100"/>
        <c:noMultiLvlLbl val="0"/>
      </c:catAx>
      <c:valAx>
        <c:axId val="28292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853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revenue (GBPm, q-level)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Raw Data'!B3</c:f>
              <c:strCache>
                <c:ptCount val="1"/>
                <c:pt idx="0">
                  <c:v>revenue (GBPm, q-level)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Data'!$B$4:$B$108</c:f>
              <c:numCache>
                <c:formatCode>#,##0</c:formatCode>
                <c:ptCount val="105"/>
                <c:pt idx="1">
                  <c:v>106101</c:v>
                </c:pt>
                <c:pt idx="2">
                  <c:v>97108</c:v>
                </c:pt>
                <c:pt idx="3">
                  <c:v>101376</c:v>
                </c:pt>
                <c:pt idx="4">
                  <c:v>95606</c:v>
                </c:pt>
                <c:pt idx="5">
                  <c:v>112322</c:v>
                </c:pt>
                <c:pt idx="6">
                  <c:v>99956</c:v>
                </c:pt>
                <c:pt idx="7">
                  <c:v>103742</c:v>
                </c:pt>
                <c:pt idx="8">
                  <c:v>96971</c:v>
                </c:pt>
                <c:pt idx="9">
                  <c:v>111742</c:v>
                </c:pt>
                <c:pt idx="10">
                  <c:v>99718</c:v>
                </c:pt>
                <c:pt idx="11">
                  <c:v>105076</c:v>
                </c:pt>
                <c:pt idx="12">
                  <c:v>99790</c:v>
                </c:pt>
                <c:pt idx="13">
                  <c:v>113199</c:v>
                </c:pt>
                <c:pt idx="14">
                  <c:v>106726</c:v>
                </c:pt>
                <c:pt idx="15">
                  <c:v>110923</c:v>
                </c:pt>
                <c:pt idx="16">
                  <c:v>108465</c:v>
                </c:pt>
                <c:pt idx="17">
                  <c:v>124761</c:v>
                </c:pt>
                <c:pt idx="18">
                  <c:v>112132</c:v>
                </c:pt>
                <c:pt idx="19">
                  <c:v>119468</c:v>
                </c:pt>
                <c:pt idx="20">
                  <c:v>117490</c:v>
                </c:pt>
                <c:pt idx="21">
                  <c:v>134125</c:v>
                </c:pt>
                <c:pt idx="22">
                  <c:v>120296</c:v>
                </c:pt>
                <c:pt idx="23">
                  <c:v>129579</c:v>
                </c:pt>
                <c:pt idx="24">
                  <c:v>124953</c:v>
                </c:pt>
                <c:pt idx="25">
                  <c:v>144900</c:v>
                </c:pt>
                <c:pt idx="26">
                  <c:v>128312</c:v>
                </c:pt>
                <c:pt idx="27">
                  <c:v>136232</c:v>
                </c:pt>
                <c:pt idx="28">
                  <c:v>131759</c:v>
                </c:pt>
                <c:pt idx="29">
                  <c:v>155198</c:v>
                </c:pt>
                <c:pt idx="30">
                  <c:v>135241</c:v>
                </c:pt>
                <c:pt idx="31">
                  <c:v>144396</c:v>
                </c:pt>
                <c:pt idx="32">
                  <c:v>140980</c:v>
                </c:pt>
                <c:pt idx="33">
                  <c:v>166774</c:v>
                </c:pt>
                <c:pt idx="34">
                  <c:v>139719</c:v>
                </c:pt>
                <c:pt idx="35">
                  <c:v>146934</c:v>
                </c:pt>
                <c:pt idx="36">
                  <c:v>168497</c:v>
                </c:pt>
                <c:pt idx="37">
                  <c:v>169588</c:v>
                </c:pt>
                <c:pt idx="38">
                  <c:v>148534</c:v>
                </c:pt>
                <c:pt idx="39">
                  <c:v>153070</c:v>
                </c:pt>
                <c:pt idx="40">
                  <c:v>147703</c:v>
                </c:pt>
                <c:pt idx="41">
                  <c:v>172789</c:v>
                </c:pt>
                <c:pt idx="42">
                  <c:v>156881</c:v>
                </c:pt>
                <c:pt idx="43">
                  <c:v>160802</c:v>
                </c:pt>
                <c:pt idx="44">
                  <c:v>153696</c:v>
                </c:pt>
                <c:pt idx="45">
                  <c:v>185303</c:v>
                </c:pt>
                <c:pt idx="46">
                  <c:v>164301</c:v>
                </c:pt>
                <c:pt idx="47">
                  <c:v>169995</c:v>
                </c:pt>
                <c:pt idx="48">
                  <c:v>162306</c:v>
                </c:pt>
                <c:pt idx="49">
                  <c:v>184006</c:v>
                </c:pt>
                <c:pt idx="50">
                  <c:v>163695</c:v>
                </c:pt>
                <c:pt idx="51">
                  <c:v>171789</c:v>
                </c:pt>
                <c:pt idx="52">
                  <c:v>164675</c:v>
                </c:pt>
                <c:pt idx="53">
                  <c:v>184883</c:v>
                </c:pt>
                <c:pt idx="54">
                  <c:v>169551</c:v>
                </c:pt>
                <c:pt idx="55">
                  <c:v>174097</c:v>
                </c:pt>
                <c:pt idx="56">
                  <c:v>168838</c:v>
                </c:pt>
                <c:pt idx="57">
                  <c:v>188592</c:v>
                </c:pt>
                <c:pt idx="58">
                  <c:v>168730</c:v>
                </c:pt>
                <c:pt idx="59">
                  <c:v>175793</c:v>
                </c:pt>
                <c:pt idx="60">
                  <c:v>172128</c:v>
                </c:pt>
                <c:pt idx="61">
                  <c:v>195428</c:v>
                </c:pt>
                <c:pt idx="62">
                  <c:v>173839</c:v>
                </c:pt>
                <c:pt idx="63">
                  <c:v>180785</c:v>
                </c:pt>
                <c:pt idx="64">
                  <c:v>174942</c:v>
                </c:pt>
                <c:pt idx="65">
                  <c:v>203924</c:v>
                </c:pt>
                <c:pt idx="66">
                  <c:v>181122</c:v>
                </c:pt>
                <c:pt idx="67">
                  <c:v>190795</c:v>
                </c:pt>
                <c:pt idx="68">
                  <c:v>184943</c:v>
                </c:pt>
                <c:pt idx="69">
                  <c:v>221243</c:v>
                </c:pt>
                <c:pt idx="70">
                  <c:v>191875</c:v>
                </c:pt>
                <c:pt idx="71">
                  <c:v>198612</c:v>
                </c:pt>
                <c:pt idx="72">
                  <c:v>194097</c:v>
                </c:pt>
                <c:pt idx="73">
                  <c:v>219476</c:v>
                </c:pt>
                <c:pt idx="74">
                  <c:v>195710</c:v>
                </c:pt>
                <c:pt idx="75">
                  <c:v>205591</c:v>
                </c:pt>
                <c:pt idx="76">
                  <c:v>200171</c:v>
                </c:pt>
                <c:pt idx="77">
                  <c:v>233241</c:v>
                </c:pt>
                <c:pt idx="78">
                  <c:v>200264</c:v>
                </c:pt>
                <c:pt idx="79">
                  <c:v>211136</c:v>
                </c:pt>
                <c:pt idx="80">
                  <c:v>201244</c:v>
                </c:pt>
                <c:pt idx="81">
                  <c:v>233890</c:v>
                </c:pt>
                <c:pt idx="82">
                  <c:v>174040</c:v>
                </c:pt>
                <c:pt idx="83">
                  <c:v>195662</c:v>
                </c:pt>
                <c:pt idx="84">
                  <c:v>203676</c:v>
                </c:pt>
                <c:pt idx="85">
                  <c:v>239942</c:v>
                </c:pt>
                <c:pt idx="86">
                  <c:v>209864</c:v>
                </c:pt>
                <c:pt idx="87">
                  <c:v>226382</c:v>
                </c:pt>
                <c:pt idx="88">
                  <c:v>231558</c:v>
                </c:pt>
                <c:pt idx="89">
                  <c:v>275087</c:v>
                </c:pt>
                <c:pt idx="90">
                  <c:v>239908</c:v>
                </c:pt>
                <c:pt idx="91">
                  <c:v>259573</c:v>
                </c:pt>
                <c:pt idx="92">
                  <c:v>258335</c:v>
                </c:pt>
                <c:pt idx="93">
                  <c:v>306222</c:v>
                </c:pt>
                <c:pt idx="94">
                  <c:v>262912</c:v>
                </c:pt>
                <c:pt idx="95">
                  <c:v>276977</c:v>
                </c:pt>
                <c:pt idx="96">
                  <c:v>274005</c:v>
                </c:pt>
                <c:pt idx="97">
                  <c:v>319070</c:v>
                </c:pt>
                <c:pt idx="98">
                  <c:v>267063</c:v>
                </c:pt>
                <c:pt idx="99">
                  <c:v>275787</c:v>
                </c:pt>
                <c:pt idx="100">
                  <c:v>273783</c:v>
                </c:pt>
                <c:pt idx="101">
                  <c:v>328100</c:v>
                </c:pt>
                <c:pt idx="102">
                  <c:v>277246</c:v>
                </c:pt>
                <c:pt idx="103">
                  <c:v>298338</c:v>
                </c:pt>
                <c:pt idx="104">
                  <c:v>294399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158028"/>
        <c:axId val="28814149"/>
      </c:lineChart>
      <c:catAx>
        <c:axId val="44158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14149"/>
        <c:crosses val="autoZero"/>
        <c:auto val="1"/>
        <c:lblAlgn val="ctr"/>
        <c:lblOffset val="100"/>
        <c:noMultiLvlLbl val="0"/>
      </c:catAx>
      <c:valAx>
        <c:axId val="28814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58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total expenditure (GBPm)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Raw Data'!C3</c:f>
              <c:strCache>
                <c:ptCount val="1"/>
                <c:pt idx="0">
                  <c:v>total_expenditure (GBPm)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Data'!$C$4:$C$108</c:f>
              <c:numCache>
                <c:formatCode>#,##0</c:formatCode>
                <c:ptCount val="105"/>
                <c:pt idx="1">
                  <c:v>88583</c:v>
                </c:pt>
                <c:pt idx="2">
                  <c:v>87401</c:v>
                </c:pt>
                <c:pt idx="3">
                  <c:v>90818</c:v>
                </c:pt>
                <c:pt idx="4">
                  <c:v>93164</c:v>
                </c:pt>
                <c:pt idx="5">
                  <c:v>94677</c:v>
                </c:pt>
                <c:pt idx="6">
                  <c:v>94300</c:v>
                </c:pt>
                <c:pt idx="7">
                  <c:v>95848</c:v>
                </c:pt>
                <c:pt idx="8">
                  <c:v>100049</c:v>
                </c:pt>
                <c:pt idx="9">
                  <c:v>102469</c:v>
                </c:pt>
                <c:pt idx="10">
                  <c:v>102328</c:v>
                </c:pt>
                <c:pt idx="11">
                  <c:v>104237</c:v>
                </c:pt>
                <c:pt idx="12">
                  <c:v>106936</c:v>
                </c:pt>
                <c:pt idx="13">
                  <c:v>112361</c:v>
                </c:pt>
                <c:pt idx="14">
                  <c:v>113608</c:v>
                </c:pt>
                <c:pt idx="15">
                  <c:v>115734</c:v>
                </c:pt>
                <c:pt idx="16">
                  <c:v>116439</c:v>
                </c:pt>
                <c:pt idx="17">
                  <c:v>120822</c:v>
                </c:pt>
                <c:pt idx="18">
                  <c:v>120895</c:v>
                </c:pt>
                <c:pt idx="19">
                  <c:v>125190</c:v>
                </c:pt>
                <c:pt idx="20">
                  <c:v>126638</c:v>
                </c:pt>
                <c:pt idx="21">
                  <c:v>132852</c:v>
                </c:pt>
                <c:pt idx="22">
                  <c:v>125944</c:v>
                </c:pt>
                <c:pt idx="23">
                  <c:v>132490</c:v>
                </c:pt>
                <c:pt idx="24">
                  <c:v>135184</c:v>
                </c:pt>
                <c:pt idx="25">
                  <c:v>139980</c:v>
                </c:pt>
                <c:pt idx="26">
                  <c:v>133238</c:v>
                </c:pt>
                <c:pt idx="27">
                  <c:v>139430</c:v>
                </c:pt>
                <c:pt idx="28">
                  <c:v>139105</c:v>
                </c:pt>
                <c:pt idx="29">
                  <c:v>147198</c:v>
                </c:pt>
                <c:pt idx="30">
                  <c:v>138819</c:v>
                </c:pt>
                <c:pt idx="31">
                  <c:v>146914</c:v>
                </c:pt>
                <c:pt idx="32">
                  <c:v>149885</c:v>
                </c:pt>
                <c:pt idx="33">
                  <c:v>161380</c:v>
                </c:pt>
                <c:pt idx="34">
                  <c:v>151089</c:v>
                </c:pt>
                <c:pt idx="35">
                  <c:v>162474</c:v>
                </c:pt>
                <c:pt idx="36">
                  <c:v>188062</c:v>
                </c:pt>
                <c:pt idx="37">
                  <c:v>186831</c:v>
                </c:pt>
                <c:pt idx="38">
                  <c:v>174504</c:v>
                </c:pt>
                <c:pt idx="39">
                  <c:v>175367</c:v>
                </c:pt>
                <c:pt idx="40">
                  <c:v>182703</c:v>
                </c:pt>
                <c:pt idx="41">
                  <c:v>190041</c:v>
                </c:pt>
                <c:pt idx="42">
                  <c:v>177328</c:v>
                </c:pt>
                <c:pt idx="43">
                  <c:v>182960</c:v>
                </c:pt>
                <c:pt idx="44">
                  <c:v>185330</c:v>
                </c:pt>
                <c:pt idx="45">
                  <c:v>191840</c:v>
                </c:pt>
                <c:pt idx="46">
                  <c:v>178245</c:v>
                </c:pt>
                <c:pt idx="47">
                  <c:v>182851</c:v>
                </c:pt>
                <c:pt idx="48">
                  <c:v>184918</c:v>
                </c:pt>
                <c:pt idx="49">
                  <c:v>193007</c:v>
                </c:pt>
                <c:pt idx="50">
                  <c:v>191934</c:v>
                </c:pt>
                <c:pt idx="51">
                  <c:v>182412</c:v>
                </c:pt>
                <c:pt idx="52">
                  <c:v>187821</c:v>
                </c:pt>
                <c:pt idx="53">
                  <c:v>188413</c:v>
                </c:pt>
                <c:pt idx="54">
                  <c:v>184528</c:v>
                </c:pt>
                <c:pt idx="55">
                  <c:v>183949</c:v>
                </c:pt>
                <c:pt idx="56">
                  <c:v>188148</c:v>
                </c:pt>
                <c:pt idx="57">
                  <c:v>190761</c:v>
                </c:pt>
                <c:pt idx="58">
                  <c:v>185463</c:v>
                </c:pt>
                <c:pt idx="59">
                  <c:v>186652</c:v>
                </c:pt>
                <c:pt idx="60">
                  <c:v>190367</c:v>
                </c:pt>
                <c:pt idx="61">
                  <c:v>191054</c:v>
                </c:pt>
                <c:pt idx="62">
                  <c:v>187082</c:v>
                </c:pt>
                <c:pt idx="63">
                  <c:v>189070</c:v>
                </c:pt>
                <c:pt idx="64">
                  <c:v>188183</c:v>
                </c:pt>
                <c:pt idx="65">
                  <c:v>194041</c:v>
                </c:pt>
                <c:pt idx="66">
                  <c:v>190863</c:v>
                </c:pt>
                <c:pt idx="67">
                  <c:v>195310</c:v>
                </c:pt>
                <c:pt idx="68">
                  <c:v>190707</c:v>
                </c:pt>
                <c:pt idx="69">
                  <c:v>197524</c:v>
                </c:pt>
                <c:pt idx="70">
                  <c:v>200454</c:v>
                </c:pt>
                <c:pt idx="71">
                  <c:v>198847</c:v>
                </c:pt>
                <c:pt idx="72">
                  <c:v>197785</c:v>
                </c:pt>
                <c:pt idx="73">
                  <c:v>203338</c:v>
                </c:pt>
                <c:pt idx="74">
                  <c:v>199683</c:v>
                </c:pt>
                <c:pt idx="75">
                  <c:v>203608</c:v>
                </c:pt>
                <c:pt idx="76">
                  <c:v>205212</c:v>
                </c:pt>
                <c:pt idx="77">
                  <c:v>209825</c:v>
                </c:pt>
                <c:pt idx="78">
                  <c:v>208406</c:v>
                </c:pt>
                <c:pt idx="79">
                  <c:v>209119</c:v>
                </c:pt>
                <c:pt idx="80">
                  <c:v>208375</c:v>
                </c:pt>
                <c:pt idx="81">
                  <c:v>218511</c:v>
                </c:pt>
                <c:pt idx="82">
                  <c:v>290360</c:v>
                </c:pt>
                <c:pt idx="83">
                  <c:v>253616</c:v>
                </c:pt>
                <c:pt idx="84">
                  <c:v>250989</c:v>
                </c:pt>
                <c:pt idx="85">
                  <c:v>265488</c:v>
                </c:pt>
                <c:pt idx="86">
                  <c:v>253226</c:v>
                </c:pt>
                <c:pt idx="87">
                  <c:v>245635</c:v>
                </c:pt>
                <c:pt idx="88">
                  <c:v>240691</c:v>
                </c:pt>
                <c:pt idx="89">
                  <c:v>258644</c:v>
                </c:pt>
                <c:pt idx="90">
                  <c:v>264045</c:v>
                </c:pt>
                <c:pt idx="91">
                  <c:v>266057</c:v>
                </c:pt>
                <c:pt idx="92">
                  <c:v>282334</c:v>
                </c:pt>
                <c:pt idx="93">
                  <c:v>307321</c:v>
                </c:pt>
                <c:pt idx="94">
                  <c:v>298725</c:v>
                </c:pt>
                <c:pt idx="95">
                  <c:v>287447</c:v>
                </c:pt>
                <c:pt idx="96">
                  <c:v>294124</c:v>
                </c:pt>
                <c:pt idx="97">
                  <c:v>310824</c:v>
                </c:pt>
                <c:pt idx="98">
                  <c:v>300023</c:v>
                </c:pt>
                <c:pt idx="99">
                  <c:v>296104</c:v>
                </c:pt>
                <c:pt idx="100">
                  <c:v>307809</c:v>
                </c:pt>
                <c:pt idx="101">
                  <c:v>322093</c:v>
                </c:pt>
                <c:pt idx="102">
                  <c:v>321288</c:v>
                </c:pt>
                <c:pt idx="103">
                  <c:v>318952</c:v>
                </c:pt>
                <c:pt idx="104">
                  <c:v>314524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801125"/>
        <c:axId val="39411423"/>
      </c:lineChart>
      <c:catAx>
        <c:axId val="69801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11423"/>
        <c:crosses val="autoZero"/>
        <c:auto val="1"/>
        <c:lblAlgn val="ctr"/>
        <c:lblOffset val="100"/>
        <c:noMultiLvlLbl val="0"/>
      </c:catAx>
      <c:valAx>
        <c:axId val="39411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01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debt interest (GBPm)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Raw Data'!D3</c:f>
              <c:strCache>
                <c:ptCount val="1"/>
                <c:pt idx="0">
                  <c:v>interest (GBPm, q-level)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Data'!$D$4:$D$108</c:f>
              <c:numCache>
                <c:formatCode>#,##0</c:formatCode>
                <c:ptCount val="105"/>
                <c:pt idx="1">
                  <c:v>7941</c:v>
                </c:pt>
                <c:pt idx="2">
                  <c:v>8806</c:v>
                </c:pt>
                <c:pt idx="3">
                  <c:v>8408</c:v>
                </c:pt>
                <c:pt idx="4">
                  <c:v>9090</c:v>
                </c:pt>
                <c:pt idx="5">
                  <c:v>8353</c:v>
                </c:pt>
                <c:pt idx="6">
                  <c:v>8130</c:v>
                </c:pt>
                <c:pt idx="7">
                  <c:v>7608</c:v>
                </c:pt>
                <c:pt idx="8">
                  <c:v>8185</c:v>
                </c:pt>
                <c:pt idx="9">
                  <c:v>7375</c:v>
                </c:pt>
                <c:pt idx="10">
                  <c:v>8018</c:v>
                </c:pt>
                <c:pt idx="11">
                  <c:v>6825</c:v>
                </c:pt>
                <c:pt idx="12">
                  <c:v>8443</c:v>
                </c:pt>
                <c:pt idx="13">
                  <c:v>7411</c:v>
                </c:pt>
                <c:pt idx="14">
                  <c:v>8376</c:v>
                </c:pt>
                <c:pt idx="15">
                  <c:v>7653</c:v>
                </c:pt>
                <c:pt idx="16">
                  <c:v>8867</c:v>
                </c:pt>
                <c:pt idx="17">
                  <c:v>7771</c:v>
                </c:pt>
                <c:pt idx="18">
                  <c:v>8743</c:v>
                </c:pt>
                <c:pt idx="19">
                  <c:v>8627</c:v>
                </c:pt>
                <c:pt idx="20">
                  <c:v>9820</c:v>
                </c:pt>
                <c:pt idx="21">
                  <c:v>9222</c:v>
                </c:pt>
                <c:pt idx="22">
                  <c:v>9822</c:v>
                </c:pt>
                <c:pt idx="23">
                  <c:v>9241</c:v>
                </c:pt>
                <c:pt idx="24">
                  <c:v>10499</c:v>
                </c:pt>
                <c:pt idx="25">
                  <c:v>9444</c:v>
                </c:pt>
                <c:pt idx="26">
                  <c:v>10203</c:v>
                </c:pt>
                <c:pt idx="27">
                  <c:v>9945</c:v>
                </c:pt>
                <c:pt idx="28">
                  <c:v>11505</c:v>
                </c:pt>
                <c:pt idx="29">
                  <c:v>10962</c:v>
                </c:pt>
                <c:pt idx="30">
                  <c:v>11652</c:v>
                </c:pt>
                <c:pt idx="31">
                  <c:v>10982</c:v>
                </c:pt>
                <c:pt idx="32">
                  <c:v>14427</c:v>
                </c:pt>
                <c:pt idx="33">
                  <c:v>12415</c:v>
                </c:pt>
                <c:pt idx="34">
                  <c:v>13965</c:v>
                </c:pt>
                <c:pt idx="35">
                  <c:v>13373</c:v>
                </c:pt>
                <c:pt idx="36">
                  <c:v>38880</c:v>
                </c:pt>
                <c:pt idx="37">
                  <c:v>23728</c:v>
                </c:pt>
                <c:pt idx="38">
                  <c:v>25354</c:v>
                </c:pt>
                <c:pt idx="39">
                  <c:v>17377</c:v>
                </c:pt>
                <c:pt idx="40">
                  <c:v>22144</c:v>
                </c:pt>
                <c:pt idx="41">
                  <c:v>21709</c:v>
                </c:pt>
                <c:pt idx="42">
                  <c:v>24144</c:v>
                </c:pt>
                <c:pt idx="43">
                  <c:v>21311</c:v>
                </c:pt>
                <c:pt idx="44">
                  <c:v>24065</c:v>
                </c:pt>
                <c:pt idx="45">
                  <c:v>23073</c:v>
                </c:pt>
                <c:pt idx="46">
                  <c:v>25806</c:v>
                </c:pt>
                <c:pt idx="47">
                  <c:v>22738</c:v>
                </c:pt>
                <c:pt idx="48">
                  <c:v>25797</c:v>
                </c:pt>
                <c:pt idx="49">
                  <c:v>21730</c:v>
                </c:pt>
                <c:pt idx="50">
                  <c:v>25693</c:v>
                </c:pt>
                <c:pt idx="51">
                  <c:v>20391</c:v>
                </c:pt>
                <c:pt idx="52">
                  <c:v>24517</c:v>
                </c:pt>
                <c:pt idx="53">
                  <c:v>20919</c:v>
                </c:pt>
                <c:pt idx="54">
                  <c:v>24474</c:v>
                </c:pt>
                <c:pt idx="55">
                  <c:v>19448</c:v>
                </c:pt>
                <c:pt idx="56">
                  <c:v>22701</c:v>
                </c:pt>
                <c:pt idx="57">
                  <c:v>17609</c:v>
                </c:pt>
                <c:pt idx="58">
                  <c:v>21146</c:v>
                </c:pt>
                <c:pt idx="59">
                  <c:v>15887</c:v>
                </c:pt>
                <c:pt idx="60">
                  <c:v>17835</c:v>
                </c:pt>
                <c:pt idx="61">
                  <c:v>12709</c:v>
                </c:pt>
                <c:pt idx="62">
                  <c:v>18725</c:v>
                </c:pt>
                <c:pt idx="63">
                  <c:v>16047</c:v>
                </c:pt>
                <c:pt idx="64">
                  <c:v>17164</c:v>
                </c:pt>
                <c:pt idx="65">
                  <c:v>15008</c:v>
                </c:pt>
                <c:pt idx="66">
                  <c:v>18892</c:v>
                </c:pt>
                <c:pt idx="67">
                  <c:v>17387</c:v>
                </c:pt>
                <c:pt idx="68">
                  <c:v>17126</c:v>
                </c:pt>
                <c:pt idx="69">
                  <c:v>15433</c:v>
                </c:pt>
                <c:pt idx="70">
                  <c:v>21227</c:v>
                </c:pt>
                <c:pt idx="71">
                  <c:v>17571</c:v>
                </c:pt>
                <c:pt idx="72">
                  <c:v>18854</c:v>
                </c:pt>
                <c:pt idx="73">
                  <c:v>15567</c:v>
                </c:pt>
                <c:pt idx="74">
                  <c:v>19417</c:v>
                </c:pt>
                <c:pt idx="75">
                  <c:v>17448</c:v>
                </c:pt>
                <c:pt idx="76">
                  <c:v>19298</c:v>
                </c:pt>
                <c:pt idx="77">
                  <c:v>13048</c:v>
                </c:pt>
                <c:pt idx="78">
                  <c:v>21609</c:v>
                </c:pt>
                <c:pt idx="79">
                  <c:v>15280</c:v>
                </c:pt>
                <c:pt idx="80">
                  <c:v>16167</c:v>
                </c:pt>
                <c:pt idx="81">
                  <c:v>13881</c:v>
                </c:pt>
                <c:pt idx="82">
                  <c:v>15086</c:v>
                </c:pt>
                <c:pt idx="83">
                  <c:v>13916</c:v>
                </c:pt>
                <c:pt idx="84">
                  <c:v>11892</c:v>
                </c:pt>
                <c:pt idx="85">
                  <c:v>12295</c:v>
                </c:pt>
                <c:pt idx="86">
                  <c:v>21448</c:v>
                </c:pt>
                <c:pt idx="87">
                  <c:v>18420</c:v>
                </c:pt>
                <c:pt idx="88">
                  <c:v>22562</c:v>
                </c:pt>
                <c:pt idx="89">
                  <c:v>22756</c:v>
                </c:pt>
                <c:pt idx="90">
                  <c:v>41185</c:v>
                </c:pt>
                <c:pt idx="91">
                  <c:v>32093</c:v>
                </c:pt>
                <c:pt idx="92">
                  <c:v>43583</c:v>
                </c:pt>
                <c:pt idx="93">
                  <c:v>33326</c:v>
                </c:pt>
                <c:pt idx="94">
                  <c:v>48265</c:v>
                </c:pt>
                <c:pt idx="95">
                  <c:v>33302</c:v>
                </c:pt>
                <c:pt idx="96">
                  <c:v>38616</c:v>
                </c:pt>
                <c:pt idx="97">
                  <c:v>32729</c:v>
                </c:pt>
                <c:pt idx="98">
                  <c:v>41284</c:v>
                </c:pt>
                <c:pt idx="99">
                  <c:v>29834</c:v>
                </c:pt>
                <c:pt idx="100">
                  <c:v>31663</c:v>
                </c:pt>
                <c:pt idx="101">
                  <c:v>28072</c:v>
                </c:pt>
                <c:pt idx="102">
                  <c:v>43519</c:v>
                </c:pt>
                <c:pt idx="103">
                  <c:v>33335</c:v>
                </c:pt>
                <c:pt idx="104">
                  <c:v>28690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990385"/>
        <c:axId val="53356400"/>
      </c:lineChart>
      <c:catAx>
        <c:axId val="36990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56400"/>
        <c:crosses val="autoZero"/>
        <c:auto val="1"/>
        <c:lblAlgn val="ctr"/>
        <c:lblOffset val="100"/>
        <c:noMultiLvlLbl val="0"/>
      </c:catAx>
      <c:valAx>
        <c:axId val="53356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90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gross debt stock (GBPm)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Raw Data'!E3</c:f>
              <c:strCache>
                <c:ptCount val="1"/>
                <c:pt idx="0">
                  <c:v>gross_debt (GBPm, stock)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Data'!$E$4:$E$108</c:f>
              <c:numCache>
                <c:formatCode>#,##0</c:formatCode>
                <c:ptCount val="105"/>
                <c:pt idx="1">
                  <c:v>353300</c:v>
                </c:pt>
                <c:pt idx="2">
                  <c:v>341800</c:v>
                </c:pt>
                <c:pt idx="3">
                  <c:v>326600</c:v>
                </c:pt>
                <c:pt idx="4">
                  <c:v>333300</c:v>
                </c:pt>
                <c:pt idx="5">
                  <c:v>322000</c:v>
                </c:pt>
                <c:pt idx="6">
                  <c:v>330300</c:v>
                </c:pt>
                <c:pt idx="7">
                  <c:v>324600</c:v>
                </c:pt>
                <c:pt idx="8">
                  <c:v>335500</c:v>
                </c:pt>
                <c:pt idx="9">
                  <c:v>330600</c:v>
                </c:pt>
                <c:pt idx="10">
                  <c:v>339100</c:v>
                </c:pt>
                <c:pt idx="11">
                  <c:v>343600</c:v>
                </c:pt>
                <c:pt idx="12">
                  <c:v>368700</c:v>
                </c:pt>
                <c:pt idx="13">
                  <c:v>369200</c:v>
                </c:pt>
                <c:pt idx="14">
                  <c:v>375500</c:v>
                </c:pt>
                <c:pt idx="15">
                  <c:v>383400</c:v>
                </c:pt>
                <c:pt idx="16">
                  <c:v>404600</c:v>
                </c:pt>
                <c:pt idx="17">
                  <c:v>404500</c:v>
                </c:pt>
                <c:pt idx="18">
                  <c:v>430200</c:v>
                </c:pt>
                <c:pt idx="19">
                  <c:v>438000</c:v>
                </c:pt>
                <c:pt idx="20">
                  <c:v>463800</c:v>
                </c:pt>
                <c:pt idx="21">
                  <c:v>460900</c:v>
                </c:pt>
                <c:pt idx="22">
                  <c:v>473300</c:v>
                </c:pt>
                <c:pt idx="23">
                  <c:v>483300</c:v>
                </c:pt>
                <c:pt idx="24">
                  <c:v>503500</c:v>
                </c:pt>
                <c:pt idx="25">
                  <c:v>499400</c:v>
                </c:pt>
                <c:pt idx="26">
                  <c:v>520000</c:v>
                </c:pt>
                <c:pt idx="27">
                  <c:v>524600</c:v>
                </c:pt>
                <c:pt idx="28">
                  <c:v>539000</c:v>
                </c:pt>
                <c:pt idx="29">
                  <c:v>535200</c:v>
                </c:pt>
                <c:pt idx="30">
                  <c:v>551200</c:v>
                </c:pt>
                <c:pt idx="31">
                  <c:v>553000</c:v>
                </c:pt>
                <c:pt idx="32">
                  <c:v>574700</c:v>
                </c:pt>
                <c:pt idx="33">
                  <c:v>567200</c:v>
                </c:pt>
                <c:pt idx="34">
                  <c:v>600100</c:v>
                </c:pt>
                <c:pt idx="35">
                  <c:v>681200</c:v>
                </c:pt>
                <c:pt idx="36">
                  <c:v>749900</c:v>
                </c:pt>
                <c:pt idx="37">
                  <c:v>787200</c:v>
                </c:pt>
                <c:pt idx="38">
                  <c:v>849700</c:v>
                </c:pt>
                <c:pt idx="39">
                  <c:v>877500</c:v>
                </c:pt>
                <c:pt idx="40">
                  <c:v>958600</c:v>
                </c:pt>
                <c:pt idx="41">
                  <c:v>1027900</c:v>
                </c:pt>
                <c:pt idx="42">
                  <c:v>1068100</c:v>
                </c:pt>
                <c:pt idx="43">
                  <c:v>1106900</c:v>
                </c:pt>
                <c:pt idx="44">
                  <c:v>1152500</c:v>
                </c:pt>
                <c:pt idx="45">
                  <c:v>1168700</c:v>
                </c:pt>
                <c:pt idx="46">
                  <c:v>1202900</c:v>
                </c:pt>
                <c:pt idx="47">
                  <c:v>1219100</c:v>
                </c:pt>
                <c:pt idx="48">
                  <c:v>1250600</c:v>
                </c:pt>
                <c:pt idx="49">
                  <c:v>1261100</c:v>
                </c:pt>
                <c:pt idx="50">
                  <c:v>1290100</c:v>
                </c:pt>
                <c:pt idx="51">
                  <c:v>1308900</c:v>
                </c:pt>
                <c:pt idx="52">
                  <c:v>1354300</c:v>
                </c:pt>
                <c:pt idx="53">
                  <c:v>1366200</c:v>
                </c:pt>
                <c:pt idx="54">
                  <c:v>1397700</c:v>
                </c:pt>
                <c:pt idx="55">
                  <c:v>1415400</c:v>
                </c:pt>
                <c:pt idx="56">
                  <c:v>1452600</c:v>
                </c:pt>
                <c:pt idx="57">
                  <c:v>1461100</c:v>
                </c:pt>
                <c:pt idx="58">
                  <c:v>1497900</c:v>
                </c:pt>
                <c:pt idx="59">
                  <c:v>1513900</c:v>
                </c:pt>
                <c:pt idx="60">
                  <c:v>1550800</c:v>
                </c:pt>
                <c:pt idx="61">
                  <c:v>1551900</c:v>
                </c:pt>
                <c:pt idx="62">
                  <c:v>1577900</c:v>
                </c:pt>
                <c:pt idx="63">
                  <c:v>1583500</c:v>
                </c:pt>
                <c:pt idx="64">
                  <c:v>1602900</c:v>
                </c:pt>
                <c:pt idx="65">
                  <c:v>1595000</c:v>
                </c:pt>
                <c:pt idx="66">
                  <c:v>1620000</c:v>
                </c:pt>
                <c:pt idx="67">
                  <c:v>1628700</c:v>
                </c:pt>
                <c:pt idx="68">
                  <c:v>1690600</c:v>
                </c:pt>
                <c:pt idx="69">
                  <c:v>1714500</c:v>
                </c:pt>
                <c:pt idx="70">
                  <c:v>1750100</c:v>
                </c:pt>
                <c:pt idx="71">
                  <c:v>1773500</c:v>
                </c:pt>
                <c:pt idx="72">
                  <c:v>1744600</c:v>
                </c:pt>
                <c:pt idx="73">
                  <c:v>1757800</c:v>
                </c:pt>
                <c:pt idx="74">
                  <c:v>1779900</c:v>
                </c:pt>
                <c:pt idx="75">
                  <c:v>1775700</c:v>
                </c:pt>
                <c:pt idx="76">
                  <c:v>1798600</c:v>
                </c:pt>
                <c:pt idx="77">
                  <c:v>1776000</c:v>
                </c:pt>
                <c:pt idx="78">
                  <c:v>1808700</c:v>
                </c:pt>
                <c:pt idx="79">
                  <c:v>1808000</c:v>
                </c:pt>
                <c:pt idx="80">
                  <c:v>1837500</c:v>
                </c:pt>
                <c:pt idx="81">
                  <c:v>1815800</c:v>
                </c:pt>
                <c:pt idx="82">
                  <c:v>2024400</c:v>
                </c:pt>
                <c:pt idx="83">
                  <c:v>2069000</c:v>
                </c:pt>
                <c:pt idx="84">
                  <c:v>2152500</c:v>
                </c:pt>
                <c:pt idx="85">
                  <c:v>2155100</c:v>
                </c:pt>
                <c:pt idx="86">
                  <c:v>2225400</c:v>
                </c:pt>
                <c:pt idx="87">
                  <c:v>2236600</c:v>
                </c:pt>
                <c:pt idx="88">
                  <c:v>2364700</c:v>
                </c:pt>
                <c:pt idx="89">
                  <c:v>2380800</c:v>
                </c:pt>
                <c:pt idx="90">
                  <c:v>2425900</c:v>
                </c:pt>
                <c:pt idx="91">
                  <c:v>2443800</c:v>
                </c:pt>
                <c:pt idx="92">
                  <c:v>2501300</c:v>
                </c:pt>
                <c:pt idx="93">
                  <c:v>2545500</c:v>
                </c:pt>
                <c:pt idx="94">
                  <c:v>2610400</c:v>
                </c:pt>
                <c:pt idx="95">
                  <c:v>2609700</c:v>
                </c:pt>
                <c:pt idx="96">
                  <c:v>2695700</c:v>
                </c:pt>
                <c:pt idx="97">
                  <c:v>2685600</c:v>
                </c:pt>
                <c:pt idx="98">
                  <c:v>2730900</c:v>
                </c:pt>
                <c:pt idx="99">
                  <c:v>2757800</c:v>
                </c:pt>
                <c:pt idx="100">
                  <c:v>2815400</c:v>
                </c:pt>
                <c:pt idx="101">
                  <c:v>2804800</c:v>
                </c:pt>
                <c:pt idx="102">
                  <c:v>2867600</c:v>
                </c:pt>
                <c:pt idx="103">
                  <c:v>2913400</c:v>
                </c:pt>
                <c:pt idx="104">
                  <c:v>2925600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085162"/>
        <c:axId val="28112326"/>
      </c:lineChart>
      <c:catAx>
        <c:axId val="22085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12326"/>
        <c:crosses val="autoZero"/>
        <c:auto val="1"/>
        <c:lblAlgn val="ctr"/>
        <c:lblOffset val="100"/>
        <c:noMultiLvlLbl val="0"/>
      </c:catAx>
      <c:valAx>
        <c:axId val="28112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85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nominal GDP (GBPm, q-level)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Raw Data'!F3</c:f>
              <c:strCache>
                <c:ptCount val="1"/>
                <c:pt idx="0">
                  <c:v>nominal_gdp (GBPm, q-level)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Data'!$F$4:$F$108</c:f>
              <c:numCache>
                <c:formatCode>#,##0</c:formatCode>
                <c:ptCount val="105"/>
                <c:pt idx="1">
                  <c:v>273551</c:v>
                </c:pt>
                <c:pt idx="2">
                  <c:v>275103</c:v>
                </c:pt>
                <c:pt idx="3">
                  <c:v>277076</c:v>
                </c:pt>
                <c:pt idx="4">
                  <c:v>279029</c:v>
                </c:pt>
                <c:pt idx="5">
                  <c:v>283724</c:v>
                </c:pt>
                <c:pt idx="6">
                  <c:v>287603</c:v>
                </c:pt>
                <c:pt idx="7">
                  <c:v>289333</c:v>
                </c:pt>
                <c:pt idx="8">
                  <c:v>289882</c:v>
                </c:pt>
                <c:pt idx="9">
                  <c:v>293878</c:v>
                </c:pt>
                <c:pt idx="10">
                  <c:v>297001</c:v>
                </c:pt>
                <c:pt idx="11">
                  <c:v>299863</c:v>
                </c:pt>
                <c:pt idx="12">
                  <c:v>303904</c:v>
                </c:pt>
                <c:pt idx="13">
                  <c:v>307576</c:v>
                </c:pt>
                <c:pt idx="14">
                  <c:v>313623</c:v>
                </c:pt>
                <c:pt idx="15">
                  <c:v>318875</c:v>
                </c:pt>
                <c:pt idx="16">
                  <c:v>322428</c:v>
                </c:pt>
                <c:pt idx="17">
                  <c:v>324300</c:v>
                </c:pt>
                <c:pt idx="18">
                  <c:v>331067</c:v>
                </c:pt>
                <c:pt idx="19">
                  <c:v>332518</c:v>
                </c:pt>
                <c:pt idx="20">
                  <c:v>339258</c:v>
                </c:pt>
                <c:pt idx="21">
                  <c:v>341839</c:v>
                </c:pt>
                <c:pt idx="22">
                  <c:v>349602</c:v>
                </c:pt>
                <c:pt idx="23">
                  <c:v>353424</c:v>
                </c:pt>
                <c:pt idx="24">
                  <c:v>358384</c:v>
                </c:pt>
                <c:pt idx="25">
                  <c:v>362595</c:v>
                </c:pt>
                <c:pt idx="26">
                  <c:v>368522</c:v>
                </c:pt>
                <c:pt idx="27">
                  <c:v>372582</c:v>
                </c:pt>
                <c:pt idx="28">
                  <c:v>374381</c:v>
                </c:pt>
                <c:pt idx="29">
                  <c:v>378672</c:v>
                </c:pt>
                <c:pt idx="30">
                  <c:v>387949</c:v>
                </c:pt>
                <c:pt idx="31">
                  <c:v>390894</c:v>
                </c:pt>
                <c:pt idx="32">
                  <c:v>394214</c:v>
                </c:pt>
                <c:pt idx="33">
                  <c:v>399716</c:v>
                </c:pt>
                <c:pt idx="34">
                  <c:v>402687</c:v>
                </c:pt>
                <c:pt idx="35">
                  <c:v>402137</c:v>
                </c:pt>
                <c:pt idx="36">
                  <c:v>397677</c:v>
                </c:pt>
                <c:pt idx="37">
                  <c:v>389775</c:v>
                </c:pt>
                <c:pt idx="38">
                  <c:v>389151</c:v>
                </c:pt>
                <c:pt idx="39">
                  <c:v>391179</c:v>
                </c:pt>
                <c:pt idx="40">
                  <c:v>389300</c:v>
                </c:pt>
                <c:pt idx="41">
                  <c:v>398126</c:v>
                </c:pt>
                <c:pt idx="42">
                  <c:v>402937</c:v>
                </c:pt>
                <c:pt idx="43">
                  <c:v>406177</c:v>
                </c:pt>
                <c:pt idx="44">
                  <c:v>408599</c:v>
                </c:pt>
                <c:pt idx="45">
                  <c:v>416521</c:v>
                </c:pt>
                <c:pt idx="46">
                  <c:v>414040</c:v>
                </c:pt>
                <c:pt idx="47">
                  <c:v>418119</c:v>
                </c:pt>
                <c:pt idx="48">
                  <c:v>421265</c:v>
                </c:pt>
                <c:pt idx="49">
                  <c:v>426653</c:v>
                </c:pt>
                <c:pt idx="50">
                  <c:v>426698</c:v>
                </c:pt>
                <c:pt idx="51">
                  <c:v>433287</c:v>
                </c:pt>
                <c:pt idx="52">
                  <c:v>435070</c:v>
                </c:pt>
                <c:pt idx="53">
                  <c:v>440038</c:v>
                </c:pt>
                <c:pt idx="54">
                  <c:v>443626</c:v>
                </c:pt>
                <c:pt idx="55">
                  <c:v>450725</c:v>
                </c:pt>
                <c:pt idx="56">
                  <c:v>454683</c:v>
                </c:pt>
                <c:pt idx="57">
                  <c:v>460682</c:v>
                </c:pt>
                <c:pt idx="58">
                  <c:v>464667</c:v>
                </c:pt>
                <c:pt idx="59">
                  <c:v>474115</c:v>
                </c:pt>
                <c:pt idx="60">
                  <c:v>475602</c:v>
                </c:pt>
                <c:pt idx="61">
                  <c:v>478016</c:v>
                </c:pt>
                <c:pt idx="62">
                  <c:v>479382</c:v>
                </c:pt>
                <c:pt idx="63">
                  <c:v>482690</c:v>
                </c:pt>
                <c:pt idx="64">
                  <c:v>487928</c:v>
                </c:pt>
                <c:pt idx="65">
                  <c:v>492644</c:v>
                </c:pt>
                <c:pt idx="66">
                  <c:v>497056</c:v>
                </c:pt>
                <c:pt idx="67">
                  <c:v>504373</c:v>
                </c:pt>
                <c:pt idx="68">
                  <c:v>510682</c:v>
                </c:pt>
                <c:pt idx="69">
                  <c:v>517306</c:v>
                </c:pt>
                <c:pt idx="70">
                  <c:v>521616</c:v>
                </c:pt>
                <c:pt idx="71">
                  <c:v>525161</c:v>
                </c:pt>
                <c:pt idx="72">
                  <c:v>533139</c:v>
                </c:pt>
                <c:pt idx="73">
                  <c:v>535163</c:v>
                </c:pt>
                <c:pt idx="74">
                  <c:v>540719</c:v>
                </c:pt>
                <c:pt idx="75">
                  <c:v>545160</c:v>
                </c:pt>
                <c:pt idx="76">
                  <c:v>550517</c:v>
                </c:pt>
                <c:pt idx="77">
                  <c:v>553984</c:v>
                </c:pt>
                <c:pt idx="78">
                  <c:v>560995</c:v>
                </c:pt>
                <c:pt idx="79">
                  <c:v>567451</c:v>
                </c:pt>
                <c:pt idx="80">
                  <c:v>570531</c:v>
                </c:pt>
                <c:pt idx="81">
                  <c:v>559365</c:v>
                </c:pt>
                <c:pt idx="82">
                  <c:v>481227</c:v>
                </c:pt>
                <c:pt idx="83">
                  <c:v>540319</c:v>
                </c:pt>
                <c:pt idx="84">
                  <c:v>543809</c:v>
                </c:pt>
                <c:pt idx="85">
                  <c:v>545116</c:v>
                </c:pt>
                <c:pt idx="86">
                  <c:v>576525</c:v>
                </c:pt>
                <c:pt idx="87">
                  <c:v>592707</c:v>
                </c:pt>
                <c:pt idx="88">
                  <c:v>608304</c:v>
                </c:pt>
                <c:pt idx="89">
                  <c:v>623014</c:v>
                </c:pt>
                <c:pt idx="90">
                  <c:v>639293</c:v>
                </c:pt>
                <c:pt idx="91">
                  <c:v>650233</c:v>
                </c:pt>
                <c:pt idx="92">
                  <c:v>668409</c:v>
                </c:pt>
                <c:pt idx="93">
                  <c:v>679194</c:v>
                </c:pt>
                <c:pt idx="94">
                  <c:v>689618</c:v>
                </c:pt>
                <c:pt idx="95">
                  <c:v>692982</c:v>
                </c:pt>
                <c:pt idx="96">
                  <c:v>690370</c:v>
                </c:pt>
                <c:pt idx="97">
                  <c:v>705573</c:v>
                </c:pt>
                <c:pt idx="98">
                  <c:v>717865</c:v>
                </c:pt>
                <c:pt idx="99">
                  <c:v>729877</c:v>
                </c:pt>
                <c:pt idx="100">
                  <c:v>738129</c:v>
                </c:pt>
                <c:pt idx="101">
                  <c:v>748000</c:v>
                </c:pt>
                <c:pt idx="102">
                  <c:v>757927</c:v>
                </c:pt>
                <c:pt idx="103">
                  <c:v>764673</c:v>
                </c:pt>
                <c:pt idx="104">
                  <c:v>769261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90502"/>
        <c:axId val="32515014"/>
      </c:lineChart>
      <c:catAx>
        <c:axId val="823905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15014"/>
        <c:crosses val="autoZero"/>
        <c:auto val="1"/>
        <c:lblAlgn val="ctr"/>
        <c:lblOffset val="100"/>
        <c:noMultiLvlLbl val="0"/>
      </c:catAx>
      <c:valAx>
        <c:axId val="32515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0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DEBT SERVICE 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Construction'!J4</c:f>
              <c:strCache>
                <c:ptCount val="1"/>
                <c:pt idx="0">
                  <c:v>DSVC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Construction'!$J$5:$J$109</c:f>
              <c:numCache>
                <c:formatCode>0.0000</c:formatCode>
                <c:ptCount val="105"/>
                <c:pt idx="1">
                  <c:v>11.6117287087234</c:v>
                </c:pt>
                <c:pt idx="2">
                  <c:v>12.8765751176197</c:v>
                </c:pt>
                <c:pt idx="3">
                  <c:v>6.12991065407342</c:v>
                </c:pt>
                <c:pt idx="4">
                  <c:v>4.40337640633137</c:v>
                </c:pt>
                <c:pt idx="5">
                  <c:v>3.0243700209729</c:v>
                </c:pt>
                <c:pt idx="6">
                  <c:v>2.9167698119706</c:v>
                </c:pt>
                <c:pt idx="7">
                  <c:v>2.69923152793251</c:v>
                </c:pt>
                <c:pt idx="8">
                  <c:v>2.87271352096932</c:v>
                </c:pt>
                <c:pt idx="9">
                  <c:v>2.56400896273235</c:v>
                </c:pt>
                <c:pt idx="10">
                  <c:v>2.76316968439626</c:v>
                </c:pt>
                <c:pt idx="11">
                  <c:v>2.3331458840059</c:v>
                </c:pt>
                <c:pt idx="12">
                  <c:v>2.86052121589939</c:v>
                </c:pt>
                <c:pt idx="13">
                  <c:v>2.48140453322574</c:v>
                </c:pt>
                <c:pt idx="14">
                  <c:v>2.77272035115828</c:v>
                </c:pt>
                <c:pt idx="15">
                  <c:v>2.49900813573601</c:v>
                </c:pt>
                <c:pt idx="16">
                  <c:v>2.85117582465285</c:v>
                </c:pt>
                <c:pt idx="17">
                  <c:v>2.4620951095523</c:v>
                </c:pt>
                <c:pt idx="18">
                  <c:v>2.73384061924945</c:v>
                </c:pt>
                <c:pt idx="19">
                  <c:v>2.66127850571078</c:v>
                </c:pt>
                <c:pt idx="20">
                  <c:v>2.99775702446667</c:v>
                </c:pt>
                <c:pt idx="21">
                  <c:v>2.77950454472502</c:v>
                </c:pt>
                <c:pt idx="22">
                  <c:v>2.92173168079888</c:v>
                </c:pt>
                <c:pt idx="23">
                  <c:v>2.71152721833721</c:v>
                </c:pt>
                <c:pt idx="24">
                  <c:v>3.03412341244239</c:v>
                </c:pt>
                <c:pt idx="25">
                  <c:v>2.69203826263194</c:v>
                </c:pt>
                <c:pt idx="26">
                  <c:v>2.86600117274869</c:v>
                </c:pt>
                <c:pt idx="27">
                  <c:v>2.75690004677998</c:v>
                </c:pt>
                <c:pt idx="28">
                  <c:v>3.14756412597643</c:v>
                </c:pt>
                <c:pt idx="29">
                  <c:v>2.96655120155878</c:v>
                </c:pt>
                <c:pt idx="30">
                  <c:v>3.11935091158426</c:v>
                </c:pt>
                <c:pt idx="31">
                  <c:v>2.90225055233142</c:v>
                </c:pt>
                <c:pt idx="32">
                  <c:v>3.76709646085635</c:v>
                </c:pt>
                <c:pt idx="33">
                  <c:v>3.20030108350105</c:v>
                </c:pt>
                <c:pt idx="34">
                  <c:v>3.55168864165395</c:v>
                </c:pt>
                <c:pt idx="35">
                  <c:v>3.36955145507653</c:v>
                </c:pt>
                <c:pt idx="36">
                  <c:v>9.72757534930327</c:v>
                </c:pt>
                <c:pt idx="37">
                  <c:v>5.92379184592349</c:v>
                </c:pt>
                <c:pt idx="38">
                  <c:v>6.36924754251147</c:v>
                </c:pt>
                <c:pt idx="39">
                  <c:v>4.40275156137173</c:v>
                </c:pt>
                <c:pt idx="40">
                  <c:v>5.64976508213514</c:v>
                </c:pt>
                <c:pt idx="41">
                  <c:v>5.56853415244917</c:v>
                </c:pt>
                <c:pt idx="42">
                  <c:v>6.16014226703645</c:v>
                </c:pt>
                <c:pt idx="43">
                  <c:v>5.38992957506029</c:v>
                </c:pt>
                <c:pt idx="44">
                  <c:v>6.02928833602666</c:v>
                </c:pt>
                <c:pt idx="45">
                  <c:v>5.71170766394424</c:v>
                </c:pt>
                <c:pt idx="46">
                  <c:v>6.31635371678719</c:v>
                </c:pt>
                <c:pt idx="47">
                  <c:v>5.52786450435382</c:v>
                </c:pt>
                <c:pt idx="48">
                  <c:v>6.22635054206323</c:v>
                </c:pt>
                <c:pt idx="49">
                  <c:v>5.2049618400606</c:v>
                </c:pt>
                <c:pt idx="50">
                  <c:v>6.11710058527079</c:v>
                </c:pt>
                <c:pt idx="51">
                  <c:v>4.81847424434421</c:v>
                </c:pt>
                <c:pt idx="52">
                  <c:v>5.74201228055692</c:v>
                </c:pt>
                <c:pt idx="53">
                  <c:v>4.8600575707379</c:v>
                </c:pt>
                <c:pt idx="54">
                  <c:v>5.64211831872989</c:v>
                </c:pt>
                <c:pt idx="55">
                  <c:v>4.44012942767239</c:v>
                </c:pt>
                <c:pt idx="56">
                  <c:v>5.13173800579725</c:v>
                </c:pt>
                <c:pt idx="57">
                  <c:v>3.93701315542359</c:v>
                </c:pt>
                <c:pt idx="58">
                  <c:v>4.67388253184478</c:v>
                </c:pt>
                <c:pt idx="59">
                  <c:v>3.47113243319567</c:v>
                </c:pt>
                <c:pt idx="60">
                  <c:v>3.84759137220512</c:v>
                </c:pt>
                <c:pt idx="61">
                  <c:v>2.71115790057523</c:v>
                </c:pt>
                <c:pt idx="62">
                  <c:v>3.95793701120271</c:v>
                </c:pt>
                <c:pt idx="63">
                  <c:v>3.36571208343493</c:v>
                </c:pt>
                <c:pt idx="64">
                  <c:v>3.58387839368583</c:v>
                </c:pt>
                <c:pt idx="65">
                  <c:v>3.11366710649704</c:v>
                </c:pt>
                <c:pt idx="66">
                  <c:v>3.88995616283786</c:v>
                </c:pt>
                <c:pt idx="67">
                  <c:v>3.54779173583062</c:v>
                </c:pt>
                <c:pt idx="68">
                  <c:v>3.4563050170005</c:v>
                </c:pt>
                <c:pt idx="69">
                  <c:v>3.07927901414387</c:v>
                </c:pt>
                <c:pt idx="70">
                  <c:v>4.18386167061772</c:v>
                </c:pt>
                <c:pt idx="71">
                  <c:v>3.42184941700905</c:v>
                </c:pt>
                <c:pt idx="72">
                  <c:v>3.63491768947327</c:v>
                </c:pt>
                <c:pt idx="73">
                  <c:v>2.96907051327899</c:v>
                </c:pt>
                <c:pt idx="74">
                  <c:v>3.67210870137711</c:v>
                </c:pt>
                <c:pt idx="75">
                  <c:v>3.2701990739309</c:v>
                </c:pt>
                <c:pt idx="76">
                  <c:v>3.58335720164647</c:v>
                </c:pt>
                <c:pt idx="77">
                  <c:v>2.40343458317273</c:v>
                </c:pt>
                <c:pt idx="78">
                  <c:v>3.94616459244515</c:v>
                </c:pt>
                <c:pt idx="79">
                  <c:v>2.76479017992849</c:v>
                </c:pt>
                <c:pt idx="80">
                  <c:v>2.896083068698</c:v>
                </c:pt>
                <c:pt idx="81">
                  <c:v>2.46449006440857</c:v>
                </c:pt>
                <c:pt idx="82">
                  <c:v>2.67204878623344</c:v>
                </c:pt>
                <c:pt idx="83">
                  <c:v>2.5550658366436</c:v>
                </c:pt>
                <c:pt idx="84">
                  <c:v>2.21098221564885</c:v>
                </c:pt>
                <c:pt idx="85">
                  <c:v>2.31465793139802</c:v>
                </c:pt>
                <c:pt idx="86">
                  <c:v>4.06506414918755</c:v>
                </c:pt>
                <c:pt idx="87">
                  <c:v>3.34033164850898</c:v>
                </c:pt>
                <c:pt idx="88">
                  <c:v>3.99653345626544</c:v>
                </c:pt>
                <c:pt idx="89">
                  <c:v>3.91896848946807</c:v>
                </c:pt>
                <c:pt idx="90">
                  <c:v>6.86259398887755</c:v>
                </c:pt>
                <c:pt idx="91">
                  <c:v>5.21134502325725</c:v>
                </c:pt>
                <c:pt idx="92">
                  <c:v>6.91562032398673</c:v>
                </c:pt>
                <c:pt idx="93">
                  <c:v>5.16492189500839</c:v>
                </c:pt>
                <c:pt idx="94">
                  <c:v>7.32084020159803</c:v>
                </c:pt>
                <c:pt idx="95">
                  <c:v>4.95666158378897</c:v>
                </c:pt>
                <c:pt idx="96">
                  <c:v>5.65760128459312</c:v>
                </c:pt>
                <c:pt idx="97">
                  <c:v>4.75683861862883</c:v>
                </c:pt>
                <c:pt idx="98">
                  <c:v>5.94325875107925</c:v>
                </c:pt>
                <c:pt idx="99">
                  <c:v>4.25168965259246</c:v>
                </c:pt>
                <c:pt idx="100">
                  <c:v>4.45379850440538</c:v>
                </c:pt>
                <c:pt idx="101">
                  <c:v>3.88345753886294</c:v>
                </c:pt>
                <c:pt idx="102">
                  <c:v>5.93332154004045</c:v>
                </c:pt>
                <c:pt idx="103">
                  <c:v>4.48362488327746</c:v>
                </c:pt>
                <c:pt idx="104">
                  <c:v>3.81423518037018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554015"/>
        <c:axId val="50400449"/>
      </c:lineChart>
      <c:catAx>
        <c:axId val="4155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00449"/>
        <c:crosses val="autoZero"/>
        <c:auto val="1"/>
        <c:lblAlgn val="ctr"/>
        <c:lblOffset val="100"/>
        <c:noMultiLvlLbl val="0"/>
      </c:catAx>
      <c:valAx>
        <c:axId val="50400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54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EFFECTIVE INTEREST RATE  EFFI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Construction'!G4</c:f>
              <c:strCache>
                <c:ptCount val="1"/>
                <c:pt idx="0">
                  <c:v>EFFI (% p.a.)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Construction'!$G$5:$G$109</c:f>
              <c:numCache>
                <c:formatCode>0.0000</c:formatCode>
                <c:ptCount val="105"/>
                <c:pt idx="1">
                  <c:v>8.99065949617889</c:v>
                </c:pt>
                <c:pt idx="2">
                  <c:v>9.9699971695443</c:v>
                </c:pt>
                <c:pt idx="3">
                  <c:v>9.8396723229959</c:v>
                </c:pt>
                <c:pt idx="4">
                  <c:v>11.1328842620943</c:v>
                </c:pt>
                <c:pt idx="5">
                  <c:v>10.024602460246</c:v>
                </c:pt>
                <c:pt idx="6">
                  <c:v>10.0993788819876</c:v>
                </c:pt>
                <c:pt idx="7">
                  <c:v>9.21344232515895</c:v>
                </c:pt>
                <c:pt idx="8">
                  <c:v>10.0862600123229</c:v>
                </c:pt>
                <c:pt idx="9">
                  <c:v>8.79284649776453</c:v>
                </c:pt>
                <c:pt idx="10">
                  <c:v>9.70114942528736</c:v>
                </c:pt>
                <c:pt idx="11">
                  <c:v>8.05072250073725</c:v>
                </c:pt>
                <c:pt idx="12">
                  <c:v>9.82887077997672</c:v>
                </c:pt>
                <c:pt idx="13">
                  <c:v>8.04014103607269</c:v>
                </c:pt>
                <c:pt idx="14">
                  <c:v>9.07475622968581</c:v>
                </c:pt>
                <c:pt idx="15">
                  <c:v>8.15233022636485</c:v>
                </c:pt>
                <c:pt idx="16">
                  <c:v>9.2509128847157</c:v>
                </c:pt>
                <c:pt idx="17">
                  <c:v>7.6826495304004</c:v>
                </c:pt>
                <c:pt idx="18">
                  <c:v>8.64573547589617</c:v>
                </c:pt>
                <c:pt idx="19">
                  <c:v>8.02138540213854</c:v>
                </c:pt>
                <c:pt idx="20">
                  <c:v>8.96803652968037</c:v>
                </c:pt>
                <c:pt idx="21">
                  <c:v>7.95342820181113</c:v>
                </c:pt>
                <c:pt idx="22">
                  <c:v>8.52419179865481</c:v>
                </c:pt>
                <c:pt idx="23">
                  <c:v>7.80984576378618</c:v>
                </c:pt>
                <c:pt idx="24">
                  <c:v>8.68942685702462</c:v>
                </c:pt>
                <c:pt idx="25">
                  <c:v>7.50268123138034</c:v>
                </c:pt>
                <c:pt idx="26">
                  <c:v>8.17220664797757</c:v>
                </c:pt>
                <c:pt idx="27">
                  <c:v>7.65</c:v>
                </c:pt>
                <c:pt idx="28">
                  <c:v>8.77239801753717</c:v>
                </c:pt>
                <c:pt idx="29">
                  <c:v>8.13506493506494</c:v>
                </c:pt>
                <c:pt idx="30">
                  <c:v>8.7085201793722</c:v>
                </c:pt>
                <c:pt idx="31">
                  <c:v>7.96952104499274</c:v>
                </c:pt>
                <c:pt idx="32">
                  <c:v>10.4354430379747</c:v>
                </c:pt>
                <c:pt idx="33">
                  <c:v>8.64103010266226</c:v>
                </c:pt>
                <c:pt idx="34">
                  <c:v>9.84837799717913</c:v>
                </c:pt>
                <c:pt idx="35">
                  <c:v>8.91384769205133</c:v>
                </c:pt>
                <c:pt idx="36">
                  <c:v>22.8302994715208</c:v>
                </c:pt>
                <c:pt idx="37">
                  <c:v>12.6566208827844</c:v>
                </c:pt>
                <c:pt idx="38">
                  <c:v>12.8831300813008</c:v>
                </c:pt>
                <c:pt idx="39">
                  <c:v>8.18029892903378</c:v>
                </c:pt>
                <c:pt idx="40">
                  <c:v>10.0941310541311</c:v>
                </c:pt>
                <c:pt idx="41">
                  <c:v>9.05862716461506</c:v>
                </c:pt>
                <c:pt idx="42">
                  <c:v>9.39546648506664</c:v>
                </c:pt>
                <c:pt idx="43">
                  <c:v>7.98090066473177</c:v>
                </c:pt>
                <c:pt idx="44">
                  <c:v>8.6963592013732</c:v>
                </c:pt>
                <c:pt idx="45">
                  <c:v>8.00798264642083</c:v>
                </c:pt>
                <c:pt idx="46">
                  <c:v>8.83237785573714</c:v>
                </c:pt>
                <c:pt idx="47">
                  <c:v>7.5610607698063</c:v>
                </c:pt>
                <c:pt idx="48">
                  <c:v>8.46427692560085</c:v>
                </c:pt>
                <c:pt idx="49">
                  <c:v>6.9502638733408</c:v>
                </c:pt>
                <c:pt idx="50">
                  <c:v>8.14939338672587</c:v>
                </c:pt>
                <c:pt idx="51">
                  <c:v>6.32230059685296</c:v>
                </c:pt>
                <c:pt idx="52">
                  <c:v>7.49239819695928</c:v>
                </c:pt>
                <c:pt idx="53">
                  <c:v>6.1785424204386</c:v>
                </c:pt>
                <c:pt idx="54">
                  <c:v>7.16556873078612</c:v>
                </c:pt>
                <c:pt idx="55">
                  <c:v>5.56571510338413</c:v>
                </c:pt>
                <c:pt idx="56">
                  <c:v>6.41543026706231</c:v>
                </c:pt>
                <c:pt idx="57">
                  <c:v>4.84896048464822</c:v>
                </c:pt>
                <c:pt idx="58">
                  <c:v>5.78906303469988</c:v>
                </c:pt>
                <c:pt idx="59">
                  <c:v>4.24247279524668</c:v>
                </c:pt>
                <c:pt idx="60">
                  <c:v>4.71233238655129</c:v>
                </c:pt>
                <c:pt idx="61">
                  <c:v>3.27805003868971</c:v>
                </c:pt>
                <c:pt idx="62">
                  <c:v>4.82634190347316</c:v>
                </c:pt>
                <c:pt idx="63">
                  <c:v>4.0679383991381</c:v>
                </c:pt>
                <c:pt idx="64">
                  <c:v>4.3357120303126</c:v>
                </c:pt>
                <c:pt idx="65">
                  <c:v>3.74521180360596</c:v>
                </c:pt>
                <c:pt idx="66">
                  <c:v>4.73780564263323</c:v>
                </c:pt>
                <c:pt idx="67">
                  <c:v>4.29308641975309</c:v>
                </c:pt>
                <c:pt idx="68">
                  <c:v>4.20605390802481</c:v>
                </c:pt>
                <c:pt idx="69">
                  <c:v>3.65148467999527</c:v>
                </c:pt>
                <c:pt idx="70">
                  <c:v>4.95234762321377</c:v>
                </c:pt>
                <c:pt idx="71">
                  <c:v>4.01599908576653</c:v>
                </c:pt>
                <c:pt idx="72">
                  <c:v>4.2523822948971</c:v>
                </c:pt>
                <c:pt idx="73">
                  <c:v>3.56918491344721</c:v>
                </c:pt>
                <c:pt idx="74">
                  <c:v>4.41847764250768</c:v>
                </c:pt>
                <c:pt idx="75">
                  <c:v>3.92111916399798</c:v>
                </c:pt>
                <c:pt idx="76">
                  <c:v>4.34713070901616</c:v>
                </c:pt>
                <c:pt idx="77">
                  <c:v>2.90181252084955</c:v>
                </c:pt>
                <c:pt idx="78">
                  <c:v>4.86689189189189</c:v>
                </c:pt>
                <c:pt idx="79">
                  <c:v>3.37922264609941</c:v>
                </c:pt>
                <c:pt idx="80">
                  <c:v>3.57676991150443</c:v>
                </c:pt>
                <c:pt idx="81">
                  <c:v>3.02171428571429</c:v>
                </c:pt>
                <c:pt idx="82">
                  <c:v>3.32327348826963</c:v>
                </c:pt>
                <c:pt idx="83">
                  <c:v>2.74965421853389</c:v>
                </c:pt>
                <c:pt idx="84">
                  <c:v>2.29908168197197</c:v>
                </c:pt>
                <c:pt idx="85">
                  <c:v>2.28478513356562</c:v>
                </c:pt>
                <c:pt idx="86">
                  <c:v>3.98088255765394</c:v>
                </c:pt>
                <c:pt idx="87">
                  <c:v>3.31086546238878</c:v>
                </c:pt>
                <c:pt idx="88">
                  <c:v>4.03505320575874</c:v>
                </c:pt>
                <c:pt idx="89">
                  <c:v>3.84928320717216</c:v>
                </c:pt>
                <c:pt idx="90">
                  <c:v>6.91952284946237</c:v>
                </c:pt>
                <c:pt idx="91">
                  <c:v>5.29172678181294</c:v>
                </c:pt>
                <c:pt idx="92">
                  <c:v>7.1336443244128</c:v>
                </c:pt>
                <c:pt idx="93">
                  <c:v>5.32938871786671</c:v>
                </c:pt>
                <c:pt idx="94">
                  <c:v>7.58436456491848</c:v>
                </c:pt>
                <c:pt idx="95">
                  <c:v>5.10297272448667</c:v>
                </c:pt>
                <c:pt idx="96">
                  <c:v>5.91884124612024</c:v>
                </c:pt>
                <c:pt idx="97">
                  <c:v>4.8564751270542</c:v>
                </c:pt>
                <c:pt idx="98">
                  <c:v>6.14894250819184</c:v>
                </c:pt>
                <c:pt idx="99">
                  <c:v>4.36984144421253</c:v>
                </c:pt>
                <c:pt idx="100">
                  <c:v>4.59250126912757</c:v>
                </c:pt>
                <c:pt idx="101">
                  <c:v>3.9883497904383</c:v>
                </c:pt>
                <c:pt idx="102">
                  <c:v>6.2063605248146</c:v>
                </c:pt>
                <c:pt idx="103">
                  <c:v>4.64988143395174</c:v>
                </c:pt>
                <c:pt idx="104">
                  <c:v>3.93904029656072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25592"/>
        <c:axId val="16071652"/>
      </c:lineChart>
      <c:catAx>
        <c:axId val="8002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71652"/>
        <c:crosses val="autoZero"/>
        <c:auto val="1"/>
        <c:lblAlgn val="ctr"/>
        <c:lblOffset val="100"/>
        <c:noMultiLvlLbl val="0"/>
      </c:catAx>
      <c:valAx>
        <c:axId val="16071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25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FREV_GDP &amp; FPEXP_GDP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Construction'!E4</c:f>
              <c:strCache>
                <c:ptCount val="1"/>
                <c:pt idx="0">
                  <c:v>FREV_GDP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Construction'!$E$5:$E$109</c:f>
              <c:numCache>
                <c:formatCode>0.0000</c:formatCode>
                <c:ptCount val="105"/>
                <c:pt idx="1">
                  <c:v>38.7865516850606</c:v>
                </c:pt>
                <c:pt idx="2">
                  <c:v>37.0377323413299</c:v>
                </c:pt>
                <c:pt idx="3">
                  <c:v>36.8867547503421</c:v>
                </c:pt>
                <c:pt idx="4">
                  <c:v>36.2242805897033</c:v>
                </c:pt>
                <c:pt idx="5">
                  <c:v>36.4517297915927</c:v>
                </c:pt>
                <c:pt idx="6">
                  <c:v>36.3001937145655</c:v>
                </c:pt>
                <c:pt idx="7">
                  <c:v>36.1173969389895</c:v>
                </c:pt>
                <c:pt idx="8">
                  <c:v>35.8953432382303</c:v>
                </c:pt>
                <c:pt idx="9">
                  <c:v>35.5313536016321</c:v>
                </c:pt>
                <c:pt idx="10">
                  <c:v>35.225631444995</c:v>
                </c:pt>
                <c:pt idx="11">
                  <c:v>35.0244447004296</c:v>
                </c:pt>
                <c:pt idx="12">
                  <c:v>34.849319379967</c:v>
                </c:pt>
                <c:pt idx="13">
                  <c:v>34.5748396152089</c:v>
                </c:pt>
                <c:pt idx="14">
                  <c:v>34.6777788118201</c:v>
                </c:pt>
                <c:pt idx="15">
                  <c:v>34.6178147845058</c:v>
                </c:pt>
                <c:pt idx="16">
                  <c:v>34.7970141829478</c:v>
                </c:pt>
                <c:pt idx="17">
                  <c:v>35.2459221435462</c:v>
                </c:pt>
                <c:pt idx="18">
                  <c:v>35.1886756075177</c:v>
                </c:pt>
                <c:pt idx="19">
                  <c:v>35.4744248130027</c:v>
                </c:pt>
                <c:pt idx="20">
                  <c:v>35.7045924968146</c:v>
                </c:pt>
                <c:pt idx="21">
                  <c:v>35.9352620173394</c:v>
                </c:pt>
                <c:pt idx="22">
                  <c:v>36.0455452066692</c:v>
                </c:pt>
                <c:pt idx="23">
                  <c:v>36.2316065840969</c:v>
                </c:pt>
                <c:pt idx="24">
                  <c:v>36.2696143022372</c:v>
                </c:pt>
                <c:pt idx="25">
                  <c:v>36.4976246572168</c:v>
                </c:pt>
                <c:pt idx="26">
                  <c:v>36.5745967392623</c:v>
                </c:pt>
                <c:pt idx="27">
                  <c:v>36.55038735831</c:v>
                </c:pt>
                <c:pt idx="28">
                  <c:v>36.6152711625893</c:v>
                </c:pt>
                <c:pt idx="29">
                  <c:v>36.9105120813944</c:v>
                </c:pt>
                <c:pt idx="30">
                  <c:v>36.8945496252603</c:v>
                </c:pt>
                <c:pt idx="31">
                  <c:v>36.9864533884807</c:v>
                </c:pt>
                <c:pt idx="32">
                  <c:v>37.1079615061651</c:v>
                </c:pt>
                <c:pt idx="33">
                  <c:v>37.3474748104145</c:v>
                </c:pt>
                <c:pt idx="34">
                  <c:v>37.2828282764655</c:v>
                </c:pt>
                <c:pt idx="35">
                  <c:v>37.1793909507029</c:v>
                </c:pt>
                <c:pt idx="36">
                  <c:v>38.8164649357734</c:v>
                </c:pt>
                <c:pt idx="37">
                  <c:v>39.2355345430064</c:v>
                </c:pt>
                <c:pt idx="38">
                  <c:v>40.1302937785829</c:v>
                </c:pt>
                <c:pt idx="39">
                  <c:v>40.8021650969331</c:v>
                </c:pt>
                <c:pt idx="40">
                  <c:v>39.6878937799994</c:v>
                </c:pt>
                <c:pt idx="41">
                  <c:v>39.6806645932148</c:v>
                </c:pt>
                <c:pt idx="42">
                  <c:v>39.8625518639404</c:v>
                </c:pt>
                <c:pt idx="43">
                  <c:v>39.972377766921</c:v>
                </c:pt>
                <c:pt idx="44">
                  <c:v>39.8658529717379</c:v>
                </c:pt>
                <c:pt idx="45">
                  <c:v>40.1828624297377</c:v>
                </c:pt>
                <c:pt idx="46">
                  <c:v>40.362673421919</c:v>
                </c:pt>
                <c:pt idx="47">
                  <c:v>40.6265330098312</c:v>
                </c:pt>
                <c:pt idx="48">
                  <c:v>40.8339795622012</c:v>
                </c:pt>
                <c:pt idx="49">
                  <c:v>40.5105242200209</c:v>
                </c:pt>
                <c:pt idx="50">
                  <c:v>40.1717929859074</c:v>
                </c:pt>
                <c:pt idx="51">
                  <c:v>39.9200657180179</c:v>
                </c:pt>
                <c:pt idx="52">
                  <c:v>39.7375745480651</c:v>
                </c:pt>
                <c:pt idx="53">
                  <c:v>39.4815724574994</c:v>
                </c:pt>
                <c:pt idx="54">
                  <c:v>39.4343446796585</c:v>
                </c:pt>
                <c:pt idx="55">
                  <c:v>39.1761549716608</c:v>
                </c:pt>
                <c:pt idx="56">
                  <c:v>38.9793703104179</c:v>
                </c:pt>
                <c:pt idx="57">
                  <c:v>38.7396696498235</c:v>
                </c:pt>
                <c:pt idx="58">
                  <c:v>38.2495874657314</c:v>
                </c:pt>
                <c:pt idx="59">
                  <c:v>37.8585408816022</c:v>
                </c:pt>
                <c:pt idx="60">
                  <c:v>37.6116360704103</c:v>
                </c:pt>
                <c:pt idx="61">
                  <c:v>37.6283555273727</c:v>
                </c:pt>
                <c:pt idx="62">
                  <c:v>37.6059125957271</c:v>
                </c:pt>
                <c:pt idx="63">
                  <c:v>37.698166195992</c:v>
                </c:pt>
                <c:pt idx="64">
                  <c:v>37.6031111775006</c:v>
                </c:pt>
                <c:pt idx="65">
                  <c:v>37.7573039630524</c:v>
                </c:pt>
                <c:pt idx="66">
                  <c:v>37.7884098396281</c:v>
                </c:pt>
                <c:pt idx="67">
                  <c:v>37.8800515236874</c:v>
                </c:pt>
                <c:pt idx="68">
                  <c:v>37.9489763088258</c:v>
                </c:pt>
                <c:pt idx="69">
                  <c:v>38.3412083371727</c:v>
                </c:pt>
                <c:pt idx="70">
                  <c:v>38.406272319505</c:v>
                </c:pt>
                <c:pt idx="71">
                  <c:v>38.398228233077</c:v>
                </c:pt>
                <c:pt idx="72">
                  <c:v>38.4235431442165</c:v>
                </c:pt>
                <c:pt idx="73">
                  <c:v>38.015601308509</c:v>
                </c:pt>
                <c:pt idx="74">
                  <c:v>37.8550189252838</c:v>
                </c:pt>
                <c:pt idx="75">
                  <c:v>37.8275548804859</c:v>
                </c:pt>
                <c:pt idx="76">
                  <c:v>37.8045450296308</c:v>
                </c:pt>
                <c:pt idx="77">
                  <c:v>38.1081364877327</c:v>
                </c:pt>
                <c:pt idx="78">
                  <c:v>37.9646132188816</c:v>
                </c:pt>
                <c:pt idx="79">
                  <c:v>37.8339476933398</c:v>
                </c:pt>
                <c:pt idx="80">
                  <c:v>37.5454790384743</c:v>
                </c:pt>
                <c:pt idx="81">
                  <c:v>37.4847565160636</c:v>
                </c:pt>
                <c:pt idx="82">
                  <c:v>37.6535293269818</c:v>
                </c:pt>
                <c:pt idx="83">
                  <c:v>37.4091423333746</c:v>
                </c:pt>
                <c:pt idx="84">
                  <c:v>37.9940886328552</c:v>
                </c:pt>
                <c:pt idx="85">
                  <c:v>38.5373691465081</c:v>
                </c:pt>
                <c:pt idx="86">
                  <c:v>38.4965062071323</c:v>
                </c:pt>
                <c:pt idx="87">
                  <c:v>38.9638098679587</c:v>
                </c:pt>
                <c:pt idx="88">
                  <c:v>39.0823076379931</c:v>
                </c:pt>
                <c:pt idx="89">
                  <c:v>39.2781237633042</c:v>
                </c:pt>
                <c:pt idx="90">
                  <c:v>39.4969305627613</c:v>
                </c:pt>
                <c:pt idx="91">
                  <c:v>39.9122674786698</c:v>
                </c:pt>
                <c:pt idx="92">
                  <c:v>40.0202793623586</c:v>
                </c:pt>
                <c:pt idx="93">
                  <c:v>40.3483485259917</c:v>
                </c:pt>
                <c:pt idx="94">
                  <c:v>40.4487667509844</c:v>
                </c:pt>
                <c:pt idx="95">
                  <c:v>40.4528894005318</c:v>
                </c:pt>
                <c:pt idx="96">
                  <c:v>40.6994641307713</c:v>
                </c:pt>
                <c:pt idx="97">
                  <c:v>40.7754711732012</c:v>
                </c:pt>
                <c:pt idx="98">
                  <c:v>40.5130059605457</c:v>
                </c:pt>
                <c:pt idx="99">
                  <c:v>39.9455284252651</c:v>
                </c:pt>
                <c:pt idx="100">
                  <c:v>39.2780562238107</c:v>
                </c:pt>
                <c:pt idx="101">
                  <c:v>39.0178368442239</c:v>
                </c:pt>
                <c:pt idx="102">
                  <c:v>38.8346341360078</c:v>
                </c:pt>
                <c:pt idx="103">
                  <c:v>39.1350301073975</c:v>
                </c:pt>
                <c:pt idx="104">
                  <c:v>39.4124270813698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'UK Construction'!F4</c:f>
              <c:strCache>
                <c:ptCount val="1"/>
                <c:pt idx="0">
                  <c:v>FPEXP_GDP (% GDP)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Construction'!$F$5:$F$109</c:f>
              <c:numCache>
                <c:formatCode>0.0000</c:formatCode>
                <c:ptCount val="105"/>
                <c:pt idx="1">
                  <c:v>29.4796948283867</c:v>
                </c:pt>
                <c:pt idx="2">
                  <c:v>29.0232095273159</c:v>
                </c:pt>
                <c:pt idx="3">
                  <c:v>29.2646506727381</c:v>
                </c:pt>
                <c:pt idx="4">
                  <c:v>29.4834439004344</c:v>
                </c:pt>
                <c:pt idx="5">
                  <c:v>29.7240549199413</c:v>
                </c:pt>
                <c:pt idx="6">
                  <c:v>30.0663809435957</c:v>
                </c:pt>
                <c:pt idx="7">
                  <c:v>30.254569448332</c:v>
                </c:pt>
                <c:pt idx="8">
                  <c:v>30.6462519403898</c:v>
                </c:pt>
                <c:pt idx="9">
                  <c:v>31.1337335529717</c:v>
                </c:pt>
                <c:pt idx="10">
                  <c:v>31.5793431980678</c:v>
                </c:pt>
                <c:pt idx="11">
                  <c:v>32.0745639593977</c:v>
                </c:pt>
                <c:pt idx="12">
                  <c:v>32.2529854032073</c:v>
                </c:pt>
                <c:pt idx="13">
                  <c:v>32.7030216560847</c:v>
                </c:pt>
                <c:pt idx="14">
                  <c:v>33.1508792897109</c:v>
                </c:pt>
                <c:pt idx="15">
                  <c:v>33.5018786505871</c:v>
                </c:pt>
                <c:pt idx="16">
                  <c:v>33.7294515177006</c:v>
                </c:pt>
                <c:pt idx="17">
                  <c:v>33.921762065499</c:v>
                </c:pt>
                <c:pt idx="18">
                  <c:v>33.9990899766325</c:v>
                </c:pt>
                <c:pt idx="19">
                  <c:v>34.2924171552904</c:v>
                </c:pt>
                <c:pt idx="20">
                  <c:v>34.554226635713</c:v>
                </c:pt>
                <c:pt idx="21">
                  <c:v>34.8902565811099</c:v>
                </c:pt>
                <c:pt idx="22">
                  <c:v>34.7070935881815</c:v>
                </c:pt>
                <c:pt idx="23">
                  <c:v>34.6659220314958</c:v>
                </c:pt>
                <c:pt idx="24">
                  <c:v>34.754060042088</c:v>
                </c:pt>
                <c:pt idx="25">
                  <c:v>34.7324623157924</c:v>
                </c:pt>
                <c:pt idx="26">
                  <c:v>34.756137706395</c:v>
                </c:pt>
                <c:pt idx="27">
                  <c:v>34.7272350475315</c:v>
                </c:pt>
                <c:pt idx="28">
                  <c:v>34.5486035938515</c:v>
                </c:pt>
                <c:pt idx="29">
                  <c:v>34.5583496245709</c:v>
                </c:pt>
                <c:pt idx="30">
                  <c:v>34.3877842260489</c:v>
                </c:pt>
                <c:pt idx="31">
                  <c:v>34.3975700700309</c:v>
                </c:pt>
                <c:pt idx="32">
                  <c:v>34.4643297895444</c:v>
                </c:pt>
                <c:pt idx="33">
                  <c:v>34.8125253930478</c:v>
                </c:pt>
                <c:pt idx="34">
                  <c:v>35.1165440743403</c:v>
                </c:pt>
                <c:pt idx="35">
                  <c:v>35.6932961543802</c:v>
                </c:pt>
                <c:pt idx="36">
                  <c:v>36.4727124977453</c:v>
                </c:pt>
                <c:pt idx="37">
                  <c:v>37.5883326759934</c:v>
                </c:pt>
                <c:pt idx="38">
                  <c:v>38.6723589698114</c:v>
                </c:pt>
                <c:pt idx="39">
                  <c:v>39.5096384573876</c:v>
                </c:pt>
                <c:pt idx="40">
                  <c:v>40.4514542405597</c:v>
                </c:pt>
                <c:pt idx="41">
                  <c:v>40.5695146438604</c:v>
                </c:pt>
                <c:pt idx="42">
                  <c:v>40.4709454443828</c:v>
                </c:pt>
                <c:pt idx="43">
                  <c:v>40.3199418743032</c:v>
                </c:pt>
                <c:pt idx="44">
                  <c:v>39.8820674584535</c:v>
                </c:pt>
                <c:pt idx="45">
                  <c:v>39.4597713668912</c:v>
                </c:pt>
                <c:pt idx="46">
                  <c:v>39.1482109744083</c:v>
                </c:pt>
                <c:pt idx="47">
                  <c:v>38.773435251397</c:v>
                </c:pt>
                <c:pt idx="48">
                  <c:v>38.3509636544916</c:v>
                </c:pt>
                <c:pt idx="49">
                  <c:v>38.2690793338639</c:v>
                </c:pt>
                <c:pt idx="50">
                  <c:v>38.7982761625417</c:v>
                </c:pt>
                <c:pt idx="51">
                  <c:v>38.5654220409473</c:v>
                </c:pt>
                <c:pt idx="52">
                  <c:v>38.4991531665068</c:v>
                </c:pt>
                <c:pt idx="53">
                  <c:v>37.9841311099751</c:v>
                </c:pt>
                <c:pt idx="54">
                  <c:v>37.2639939818073</c:v>
                </c:pt>
                <c:pt idx="55">
                  <c:v>37.0369135425008</c:v>
                </c:pt>
                <c:pt idx="56">
                  <c:v>36.7506729745924</c:v>
                </c:pt>
                <c:pt idx="57">
                  <c:v>36.644092222205</c:v>
                </c:pt>
                <c:pt idx="58">
                  <c:v>36.4557939693799</c:v>
                </c:pt>
                <c:pt idx="59">
                  <c:v>36.3337426859898</c:v>
                </c:pt>
                <c:pt idx="60">
                  <c:v>36.3062420202809</c:v>
                </c:pt>
                <c:pt idx="61">
                  <c:v>36.248097653773</c:v>
                </c:pt>
                <c:pt idx="62">
                  <c:v>36.1802513220231</c:v>
                </c:pt>
                <c:pt idx="63">
                  <c:v>36.1361702571919</c:v>
                </c:pt>
                <c:pt idx="64">
                  <c:v>35.8266736375632</c:v>
                </c:pt>
                <c:pt idx="65">
                  <c:v>35.5923164511871</c:v>
                </c:pt>
                <c:pt idx="66">
                  <c:v>35.4557780931461</c:v>
                </c:pt>
                <c:pt idx="67">
                  <c:v>35.3151184081138</c:v>
                </c:pt>
                <c:pt idx="68">
                  <c:v>35.0420874371183</c:v>
                </c:pt>
                <c:pt idx="69">
                  <c:v>34.7669306012515</c:v>
                </c:pt>
                <c:pt idx="70">
                  <c:v>34.7044781903595</c:v>
                </c:pt>
                <c:pt idx="71">
                  <c:v>34.5183671403749</c:v>
                </c:pt>
                <c:pt idx="72">
                  <c:v>34.4038447050432</c:v>
                </c:pt>
                <c:pt idx="73">
                  <c:v>34.3819308876879</c:v>
                </c:pt>
                <c:pt idx="74">
                  <c:v>34.1228629985634</c:v>
                </c:pt>
                <c:pt idx="75">
                  <c:v>34.0327948301466</c:v>
                </c:pt>
                <c:pt idx="76">
                  <c:v>34.0820120475658</c:v>
                </c:pt>
                <c:pt idx="77">
                  <c:v>34.2003214054182</c:v>
                </c:pt>
                <c:pt idx="78">
                  <c:v>34.1820708423201</c:v>
                </c:pt>
                <c:pt idx="79">
                  <c:v>34.184734344344</c:v>
                </c:pt>
                <c:pt idx="80">
                  <c:v>34.1604226615552</c:v>
                </c:pt>
                <c:pt idx="81">
                  <c:v>34.4267608714712</c:v>
                </c:pt>
                <c:pt idx="82">
                  <c:v>39.7485235755132</c:v>
                </c:pt>
                <c:pt idx="83">
                  <c:v>42.3814353349986</c:v>
                </c:pt>
                <c:pt idx="84">
                  <c:v>45.1212865695245</c:v>
                </c:pt>
                <c:pt idx="85">
                  <c:v>47.7269765848477</c:v>
                </c:pt>
                <c:pt idx="86">
                  <c:v>43.6930612407736</c:v>
                </c:pt>
                <c:pt idx="87">
                  <c:v>42.1265217608873</c:v>
                </c:pt>
                <c:pt idx="88">
                  <c:v>40.0539986188202</c:v>
                </c:pt>
                <c:pt idx="89">
                  <c:v>38.0333673533149</c:v>
                </c:pt>
                <c:pt idx="90">
                  <c:v>36.7022041003232</c:v>
                </c:pt>
                <c:pt idx="91">
                  <c:v>36.132382646447</c:v>
                </c:pt>
                <c:pt idx="92">
                  <c:v>36.0899421104408</c:v>
                </c:pt>
                <c:pt idx="93">
                  <c:v>36.7661195186129</c:v>
                </c:pt>
                <c:pt idx="94">
                  <c:v>37.104635093289</c:v>
                </c:pt>
                <c:pt idx="95">
                  <c:v>37.2628335695185</c:v>
                </c:pt>
                <c:pt idx="96">
                  <c:v>37.5743596675198</c:v>
                </c:pt>
                <c:pt idx="97">
                  <c:v>37.3651946361816</c:v>
                </c:pt>
                <c:pt idx="98">
                  <c:v>37.2841217191169</c:v>
                </c:pt>
                <c:pt idx="99">
                  <c:v>37.2267673810566</c:v>
                </c:pt>
                <c:pt idx="100">
                  <c:v>37.3256407525098</c:v>
                </c:pt>
                <c:pt idx="101">
                  <c:v>37.3287032729115</c:v>
                </c:pt>
                <c:pt idx="102">
                  <c:v>37.4657398132372</c:v>
                </c:pt>
                <c:pt idx="103">
                  <c:v>37.6754769206532</c:v>
                </c:pt>
                <c:pt idx="104">
                  <c:v>37.6083314335754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298196"/>
        <c:axId val="29472798"/>
      </c:lineChart>
      <c:catAx>
        <c:axId val="152981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72798"/>
        <c:crosses val="autoZero"/>
        <c:auto val="1"/>
        <c:lblAlgn val="ctr"/>
        <c:lblOffset val="100"/>
        <c:noMultiLvlLbl val="0"/>
      </c:catAx>
      <c:valAx>
        <c:axId val="29472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981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UK: reconstructed vs OBSERVED debt/GDP (back-cast)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Fiscal Arithmetic'!I4</c:f>
              <c:strCache>
                <c:ptCount val="1"/>
                <c:pt idx="0">
                  <c:v>d_t RATIO form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Arithmetic'!$I$5:$I$109</c:f>
              <c:numCache>
                <c:formatCode>0.0000</c:formatCode>
                <c:ptCount val="105"/>
                <c:pt idx="1">
                  <c:v>129.153247474877</c:v>
                </c:pt>
                <c:pt idx="2">
                  <c:v>62.2979145326563</c:v>
                </c:pt>
                <c:pt idx="3">
                  <c:v>39.5528804815133</c:v>
                </c:pt>
                <c:pt idx="4">
                  <c:v>30.1694758766392</c:v>
                </c:pt>
                <c:pt idx="5">
                  <c:v>28.8806851000779</c:v>
                </c:pt>
                <c:pt idx="6">
                  <c:v>29.2966671160655</c:v>
                </c:pt>
                <c:pt idx="7">
                  <c:v>28.4814541510886</c:v>
                </c:pt>
                <c:pt idx="8">
                  <c:v>29.1601697287018</c:v>
                </c:pt>
                <c:pt idx="9">
                  <c:v>28.4829102538477</c:v>
                </c:pt>
                <c:pt idx="10">
                  <c:v>28.9805776288059</c:v>
                </c:pt>
                <c:pt idx="11">
                  <c:v>29.1032538725284</c:v>
                </c:pt>
                <c:pt idx="12">
                  <c:v>30.8626990757095</c:v>
                </c:pt>
                <c:pt idx="13">
                  <c:v>30.5542130386711</c:v>
                </c:pt>
                <c:pt idx="14">
                  <c:v>30.6539120269461</c:v>
                </c:pt>
                <c:pt idx="15">
                  <c:v>30.8204807480518</c:v>
                </c:pt>
                <c:pt idx="16">
                  <c:v>32.0474739841996</c:v>
                </c:pt>
                <c:pt idx="17">
                  <c:v>31.6206831318313</c:v>
                </c:pt>
                <c:pt idx="18">
                  <c:v>33.1772926033609</c:v>
                </c:pt>
                <c:pt idx="19">
                  <c:v>33.4271277168127</c:v>
                </c:pt>
                <c:pt idx="20">
                  <c:v>34.9472513512108</c:v>
                </c:pt>
                <c:pt idx="21">
                  <c:v>34.2757618529883</c:v>
                </c:pt>
                <c:pt idx="22">
                  <c:v>34.719344022265</c:v>
                </c:pt>
                <c:pt idx="23">
                  <c:v>34.9174170214641</c:v>
                </c:pt>
                <c:pt idx="24">
                  <c:v>35.8810161275725</c:v>
                </c:pt>
                <c:pt idx="25">
                  <c:v>35.0701015796995</c:v>
                </c:pt>
                <c:pt idx="26">
                  <c:v>36.037909108235</c:v>
                </c:pt>
                <c:pt idx="27">
                  <c:v>35.8803159601746</c:v>
                </c:pt>
                <c:pt idx="28">
                  <c:v>36.4662264559429</c:v>
                </c:pt>
                <c:pt idx="29">
                  <c:v>35.8195290053187</c:v>
                </c:pt>
                <c:pt idx="30">
                  <c:v>36.416875442658</c:v>
                </c:pt>
                <c:pt idx="31">
                  <c:v>36.0990563328059</c:v>
                </c:pt>
                <c:pt idx="32">
                  <c:v>37.0361061757562</c:v>
                </c:pt>
                <c:pt idx="33">
                  <c:v>36.0636913273562</c:v>
                </c:pt>
                <c:pt idx="34">
                  <c:v>37.8013128727927</c:v>
                </c:pt>
                <c:pt idx="35">
                  <c:v>42.608181121048</c:v>
                </c:pt>
                <c:pt idx="36">
                  <c:v>46.8038973497348</c:v>
                </c:pt>
                <c:pt idx="37">
                  <c:v>49.4386651560408</c:v>
                </c:pt>
                <c:pt idx="38">
                  <c:v>53.8214018774466</c:v>
                </c:pt>
                <c:pt idx="39">
                  <c:v>55.9707918575414</c:v>
                </c:pt>
                <c:pt idx="40">
                  <c:v>61.4721640625752</c:v>
                </c:pt>
                <c:pt idx="41">
                  <c:v>65.5650496633405</c:v>
                </c:pt>
                <c:pt idx="42">
                  <c:v>67.5353547360741</c:v>
                </c:pt>
                <c:pt idx="43">
                  <c:v>69.3311786738823</c:v>
                </c:pt>
                <c:pt idx="44">
                  <c:v>71.3251753423454</c:v>
                </c:pt>
                <c:pt idx="45">
                  <c:v>71.513626567554</c:v>
                </c:pt>
                <c:pt idx="46">
                  <c:v>73.1096425838597</c:v>
                </c:pt>
                <c:pt idx="47">
                  <c:v>73.5603359482622</c:v>
                </c:pt>
                <c:pt idx="48">
                  <c:v>74.8886939390219</c:v>
                </c:pt>
                <c:pt idx="49">
                  <c:v>75.0620358471665</c:v>
                </c:pt>
                <c:pt idx="50">
                  <c:v>76.2139377988876</c:v>
                </c:pt>
                <c:pt idx="51">
                  <c:v>76.6378418446481</c:v>
                </c:pt>
                <c:pt idx="52">
                  <c:v>78.6602606249143</c:v>
                </c:pt>
                <c:pt idx="53">
                  <c:v>78.7392952423876</c:v>
                </c:pt>
                <c:pt idx="54">
                  <c:v>79.7764410358095</c:v>
                </c:pt>
                <c:pt idx="55">
                  <c:v>79.9905507841662</c:v>
                </c:pt>
                <c:pt idx="56">
                  <c:v>81.192931307404</c:v>
                </c:pt>
                <c:pt idx="57">
                  <c:v>80.7364249418141</c:v>
                </c:pt>
                <c:pt idx="58">
                  <c:v>81.8186138302353</c:v>
                </c:pt>
                <c:pt idx="59">
                  <c:v>81.6494053599849</c:v>
                </c:pt>
                <c:pt idx="60">
                  <c:v>82.7064220672766</c:v>
                </c:pt>
                <c:pt idx="61">
                  <c:v>82.0069752694991</c:v>
                </c:pt>
                <c:pt idx="62">
                  <c:v>82.7375381138526</c:v>
                </c:pt>
                <c:pt idx="63">
                  <c:v>82.6595117164051</c:v>
                </c:pt>
                <c:pt idx="64">
                  <c:v>83.1372768690716</c:v>
                </c:pt>
                <c:pt idx="65">
                  <c:v>82.1045955923988</c:v>
                </c:pt>
                <c:pt idx="66">
                  <c:v>82.6396533623626</c:v>
                </c:pt>
                <c:pt idx="67">
                  <c:v>82.1745296798539</c:v>
                </c:pt>
                <c:pt idx="68">
                  <c:v>84.3295065980631</c:v>
                </c:pt>
                <c:pt idx="69">
                  <c:v>84.4823907555717</c:v>
                </c:pt>
                <c:pt idx="70">
                  <c:v>85.2054331669732</c:v>
                </c:pt>
                <c:pt idx="71">
                  <c:v>85.4795603357489</c:v>
                </c:pt>
                <c:pt idx="72">
                  <c:v>83.1862339799983</c:v>
                </c:pt>
                <c:pt idx="73">
                  <c:v>83.1080068404064</c:v>
                </c:pt>
                <c:pt idx="74">
                  <c:v>83.3996350826687</c:v>
                </c:pt>
                <c:pt idx="75">
                  <c:v>82.4303993025656</c:v>
                </c:pt>
                <c:pt idx="76">
                  <c:v>82.8252881915711</c:v>
                </c:pt>
                <c:pt idx="77">
                  <c:v>81.0818214191145</c:v>
                </c:pt>
                <c:pt idx="78">
                  <c:v>81.817342906359</c:v>
                </c:pt>
                <c:pt idx="79">
                  <c:v>80.9692303489514</c:v>
                </c:pt>
                <c:pt idx="80">
                  <c:v>81.5593345823563</c:v>
                </c:pt>
                <c:pt idx="81">
                  <c:v>80.4041194823459</c:v>
                </c:pt>
                <c:pt idx="82">
                  <c:v>92.9231690087186</c:v>
                </c:pt>
                <c:pt idx="83">
                  <c:v>96.1680584463815</c:v>
                </c:pt>
                <c:pt idx="84">
                  <c:v>101.307466395572</c:v>
                </c:pt>
                <c:pt idx="85">
                  <c:v>102.11464644622</c:v>
                </c:pt>
                <c:pt idx="86">
                  <c:v>100.889984399998</c:v>
                </c:pt>
                <c:pt idx="87">
                  <c:v>99.04537195598</c:v>
                </c:pt>
                <c:pt idx="88">
                  <c:v>101.810344382198</c:v>
                </c:pt>
                <c:pt idx="89">
                  <c:v>99.1772718751953</c:v>
                </c:pt>
                <c:pt idx="90">
                  <c:v>98.4809918979198</c:v>
                </c:pt>
                <c:pt idx="91">
                  <c:v>96.9437220232589</c:v>
                </c:pt>
                <c:pt idx="92">
                  <c:v>96.9139645920938</c:v>
                </c:pt>
                <c:pt idx="93">
                  <c:v>96.525425946171</c:v>
                </c:pt>
                <c:pt idx="94">
                  <c:v>97.1328253432431</c:v>
                </c:pt>
                <c:pt idx="95">
                  <c:v>95.586298894258</c:v>
                </c:pt>
                <c:pt idx="96">
                  <c:v>97.9483780763065</c:v>
                </c:pt>
                <c:pt idx="97">
                  <c:v>96.6549734879036</c:v>
                </c:pt>
                <c:pt idx="98">
                  <c:v>97.2961995731779</c:v>
                </c:pt>
                <c:pt idx="99">
                  <c:v>96.9797990987047</c:v>
                </c:pt>
                <c:pt idx="100">
                  <c:v>97.3700337962623</c:v>
                </c:pt>
                <c:pt idx="101">
                  <c:v>95.6006586519994</c:v>
                </c:pt>
                <c:pt idx="102">
                  <c:v>96.4244991396915</c:v>
                </c:pt>
                <c:pt idx="103">
                  <c:v>96.8315856961528</c:v>
                </c:pt>
                <c:pt idx="104">
                  <c:v>96.2412426094483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'UK Fiscal Arithmetic'!L4</c:f>
              <c:strCache>
                <c:ptCount val="1"/>
                <c:pt idx="0">
                  <c:v>OBSERVED d_t (% GDP)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Arithmetic'!$L$5:$L$109</c:f>
              <c:numCache>
                <c:formatCode>0.0000</c:formatCode>
                <c:ptCount val="105"/>
                <c:pt idx="1">
                  <c:v>129.153247474877</c:v>
                </c:pt>
                <c:pt idx="2">
                  <c:v>62.2979145326563</c:v>
                </c:pt>
                <c:pt idx="3">
                  <c:v>39.5528804815133</c:v>
                </c:pt>
                <c:pt idx="4">
                  <c:v>30.1694758766392</c:v>
                </c:pt>
                <c:pt idx="5">
                  <c:v>28.8806851000779</c:v>
                </c:pt>
                <c:pt idx="6">
                  <c:v>29.2966671160655</c:v>
                </c:pt>
                <c:pt idx="7">
                  <c:v>28.4814541510886</c:v>
                </c:pt>
                <c:pt idx="8">
                  <c:v>29.1601697287018</c:v>
                </c:pt>
                <c:pt idx="9">
                  <c:v>28.4829102538477</c:v>
                </c:pt>
                <c:pt idx="10">
                  <c:v>28.9805776288059</c:v>
                </c:pt>
                <c:pt idx="11">
                  <c:v>29.1032538725284</c:v>
                </c:pt>
                <c:pt idx="12">
                  <c:v>30.8626990757095</c:v>
                </c:pt>
                <c:pt idx="13">
                  <c:v>30.5542130386711</c:v>
                </c:pt>
                <c:pt idx="14">
                  <c:v>30.6539120269461</c:v>
                </c:pt>
                <c:pt idx="15">
                  <c:v>30.8204807480518</c:v>
                </c:pt>
                <c:pt idx="16">
                  <c:v>32.0474739841996</c:v>
                </c:pt>
                <c:pt idx="17">
                  <c:v>31.6206831318313</c:v>
                </c:pt>
                <c:pt idx="18">
                  <c:v>33.1772926033609</c:v>
                </c:pt>
                <c:pt idx="19">
                  <c:v>33.4271277168127</c:v>
                </c:pt>
                <c:pt idx="20">
                  <c:v>34.9472513512108</c:v>
                </c:pt>
                <c:pt idx="21">
                  <c:v>34.2757618529883</c:v>
                </c:pt>
                <c:pt idx="22">
                  <c:v>34.719344022265</c:v>
                </c:pt>
                <c:pt idx="23">
                  <c:v>34.9174170214641</c:v>
                </c:pt>
                <c:pt idx="24">
                  <c:v>35.8810161275725</c:v>
                </c:pt>
                <c:pt idx="25">
                  <c:v>35.0701015796995</c:v>
                </c:pt>
                <c:pt idx="26">
                  <c:v>36.037909108235</c:v>
                </c:pt>
                <c:pt idx="27">
                  <c:v>35.8803159601746</c:v>
                </c:pt>
                <c:pt idx="28">
                  <c:v>36.4662264559428</c:v>
                </c:pt>
                <c:pt idx="29">
                  <c:v>35.8195290053187</c:v>
                </c:pt>
                <c:pt idx="30">
                  <c:v>36.416875442658</c:v>
                </c:pt>
                <c:pt idx="31">
                  <c:v>36.0990563328059</c:v>
                </c:pt>
                <c:pt idx="32">
                  <c:v>37.0361061757562</c:v>
                </c:pt>
                <c:pt idx="33">
                  <c:v>36.0636913273562</c:v>
                </c:pt>
                <c:pt idx="34">
                  <c:v>37.8013128727927</c:v>
                </c:pt>
                <c:pt idx="35">
                  <c:v>42.608181121048</c:v>
                </c:pt>
                <c:pt idx="36">
                  <c:v>46.8038973497348</c:v>
                </c:pt>
                <c:pt idx="37">
                  <c:v>49.4386651560408</c:v>
                </c:pt>
                <c:pt idx="38">
                  <c:v>53.8214018774466</c:v>
                </c:pt>
                <c:pt idx="39">
                  <c:v>55.9707918575414</c:v>
                </c:pt>
                <c:pt idx="40">
                  <c:v>61.4721640625751</c:v>
                </c:pt>
                <c:pt idx="41">
                  <c:v>65.5650496633405</c:v>
                </c:pt>
                <c:pt idx="42">
                  <c:v>67.535354736074</c:v>
                </c:pt>
                <c:pt idx="43">
                  <c:v>69.3311786738823</c:v>
                </c:pt>
                <c:pt idx="44">
                  <c:v>71.3251753423454</c:v>
                </c:pt>
                <c:pt idx="45">
                  <c:v>71.513626567554</c:v>
                </c:pt>
                <c:pt idx="46">
                  <c:v>73.1096425838597</c:v>
                </c:pt>
                <c:pt idx="47">
                  <c:v>73.5603359482622</c:v>
                </c:pt>
                <c:pt idx="48">
                  <c:v>74.888693939022</c:v>
                </c:pt>
                <c:pt idx="49">
                  <c:v>75.0620358471665</c:v>
                </c:pt>
                <c:pt idx="50">
                  <c:v>76.2139377988876</c:v>
                </c:pt>
                <c:pt idx="51">
                  <c:v>76.6378418446481</c:v>
                </c:pt>
                <c:pt idx="52">
                  <c:v>78.6602606249143</c:v>
                </c:pt>
                <c:pt idx="53">
                  <c:v>78.7392952423876</c:v>
                </c:pt>
                <c:pt idx="54">
                  <c:v>79.7764410358095</c:v>
                </c:pt>
                <c:pt idx="55">
                  <c:v>79.9905507841662</c:v>
                </c:pt>
                <c:pt idx="56">
                  <c:v>81.1929313074041</c:v>
                </c:pt>
                <c:pt idx="57">
                  <c:v>80.7364249418141</c:v>
                </c:pt>
                <c:pt idx="58">
                  <c:v>81.8186138302353</c:v>
                </c:pt>
                <c:pt idx="59">
                  <c:v>81.6494053599849</c:v>
                </c:pt>
                <c:pt idx="60">
                  <c:v>82.7064220672766</c:v>
                </c:pt>
                <c:pt idx="61">
                  <c:v>82.0069752694991</c:v>
                </c:pt>
                <c:pt idx="62">
                  <c:v>82.7375381138526</c:v>
                </c:pt>
                <c:pt idx="63">
                  <c:v>82.6595117164051</c:v>
                </c:pt>
                <c:pt idx="64">
                  <c:v>83.1372768690716</c:v>
                </c:pt>
                <c:pt idx="65">
                  <c:v>82.1045955923988</c:v>
                </c:pt>
                <c:pt idx="66">
                  <c:v>82.6396533623626</c:v>
                </c:pt>
                <c:pt idx="67">
                  <c:v>82.1745296798539</c:v>
                </c:pt>
                <c:pt idx="68">
                  <c:v>84.3295065980631</c:v>
                </c:pt>
                <c:pt idx="69">
                  <c:v>84.4823907555717</c:v>
                </c:pt>
                <c:pt idx="70">
                  <c:v>85.2054331669732</c:v>
                </c:pt>
                <c:pt idx="71">
                  <c:v>85.4795603357489</c:v>
                </c:pt>
                <c:pt idx="72">
                  <c:v>83.1862339799983</c:v>
                </c:pt>
                <c:pt idx="73">
                  <c:v>83.1080068404064</c:v>
                </c:pt>
                <c:pt idx="74">
                  <c:v>83.3996350826687</c:v>
                </c:pt>
                <c:pt idx="75">
                  <c:v>82.4303993025656</c:v>
                </c:pt>
                <c:pt idx="76">
                  <c:v>82.8252881915711</c:v>
                </c:pt>
                <c:pt idx="77">
                  <c:v>81.0818214191145</c:v>
                </c:pt>
                <c:pt idx="78">
                  <c:v>81.817342906359</c:v>
                </c:pt>
                <c:pt idx="79">
                  <c:v>80.9692303489514</c:v>
                </c:pt>
                <c:pt idx="80">
                  <c:v>81.5593345823563</c:v>
                </c:pt>
                <c:pt idx="81">
                  <c:v>80.4041194823459</c:v>
                </c:pt>
                <c:pt idx="82">
                  <c:v>92.9231690087186</c:v>
                </c:pt>
                <c:pt idx="83">
                  <c:v>96.1680584463815</c:v>
                </c:pt>
                <c:pt idx="84">
                  <c:v>101.307466395572</c:v>
                </c:pt>
                <c:pt idx="85">
                  <c:v>102.11464644622</c:v>
                </c:pt>
                <c:pt idx="86">
                  <c:v>100.889984399998</c:v>
                </c:pt>
                <c:pt idx="87">
                  <c:v>99.04537195598</c:v>
                </c:pt>
                <c:pt idx="88">
                  <c:v>101.810344382198</c:v>
                </c:pt>
                <c:pt idx="89">
                  <c:v>99.1772718751953</c:v>
                </c:pt>
                <c:pt idx="90">
                  <c:v>98.4809918979198</c:v>
                </c:pt>
                <c:pt idx="91">
                  <c:v>96.9437220232589</c:v>
                </c:pt>
                <c:pt idx="92">
                  <c:v>96.9139645920938</c:v>
                </c:pt>
                <c:pt idx="93">
                  <c:v>96.525425946171</c:v>
                </c:pt>
                <c:pt idx="94">
                  <c:v>97.1328253432431</c:v>
                </c:pt>
                <c:pt idx="95">
                  <c:v>95.5862988942581</c:v>
                </c:pt>
                <c:pt idx="96">
                  <c:v>97.9483780763065</c:v>
                </c:pt>
                <c:pt idx="97">
                  <c:v>96.6549734879036</c:v>
                </c:pt>
                <c:pt idx="98">
                  <c:v>97.2961995731779</c:v>
                </c:pt>
                <c:pt idx="99">
                  <c:v>96.9797990987047</c:v>
                </c:pt>
                <c:pt idx="100">
                  <c:v>97.3700337962624</c:v>
                </c:pt>
                <c:pt idx="101">
                  <c:v>95.6006586519994</c:v>
                </c:pt>
                <c:pt idx="102">
                  <c:v>96.4244991396915</c:v>
                </c:pt>
                <c:pt idx="103">
                  <c:v>96.8315856961528</c:v>
                </c:pt>
                <c:pt idx="104">
                  <c:v>96.2412426094483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725421"/>
        <c:axId val="32491062"/>
      </c:lineChart>
      <c:catAx>
        <c:axId val="327254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91062"/>
        <c:crosses val="autoZero"/>
        <c:auto val="1"/>
        <c:lblAlgn val="ctr"/>
        <c:lblOffset val="100"/>
        <c:noMultiLvlLbl val="0"/>
      </c:catAx>
      <c:valAx>
        <c:axId val="32491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25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UK: debt service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Fiscal Arithmetic'!C4</c:f>
              <c:strCache>
                <c:ptCount val="1"/>
                <c:pt idx="0">
                  <c:v>DSVC = interest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Arithmetic'!$C$5:$C$109</c:f>
              <c:numCache>
                <c:formatCode>0.0000</c:formatCode>
                <c:ptCount val="105"/>
                <c:pt idx="1">
                  <c:v>11.6117287087234</c:v>
                </c:pt>
                <c:pt idx="2">
                  <c:v>12.8765751176197</c:v>
                </c:pt>
                <c:pt idx="3">
                  <c:v>6.12991065407342</c:v>
                </c:pt>
                <c:pt idx="4">
                  <c:v>4.40337640633137</c:v>
                </c:pt>
                <c:pt idx="5">
                  <c:v>3.0243700209729</c:v>
                </c:pt>
                <c:pt idx="6">
                  <c:v>2.9167698119706</c:v>
                </c:pt>
                <c:pt idx="7">
                  <c:v>2.69923152793251</c:v>
                </c:pt>
                <c:pt idx="8">
                  <c:v>2.87271352096932</c:v>
                </c:pt>
                <c:pt idx="9">
                  <c:v>2.56400896273235</c:v>
                </c:pt>
                <c:pt idx="10">
                  <c:v>2.76316968439626</c:v>
                </c:pt>
                <c:pt idx="11">
                  <c:v>2.3331458840059</c:v>
                </c:pt>
                <c:pt idx="12">
                  <c:v>2.86052121589939</c:v>
                </c:pt>
                <c:pt idx="13">
                  <c:v>2.48140453322574</c:v>
                </c:pt>
                <c:pt idx="14">
                  <c:v>2.77272035115828</c:v>
                </c:pt>
                <c:pt idx="15">
                  <c:v>2.49900813573601</c:v>
                </c:pt>
                <c:pt idx="16">
                  <c:v>2.85117582465285</c:v>
                </c:pt>
                <c:pt idx="17">
                  <c:v>2.4620951095523</c:v>
                </c:pt>
                <c:pt idx="18">
                  <c:v>2.73384061924945</c:v>
                </c:pt>
                <c:pt idx="19">
                  <c:v>2.66127850571078</c:v>
                </c:pt>
                <c:pt idx="20">
                  <c:v>2.99775702446667</c:v>
                </c:pt>
                <c:pt idx="21">
                  <c:v>2.77950454472502</c:v>
                </c:pt>
                <c:pt idx="22">
                  <c:v>2.92173168079888</c:v>
                </c:pt>
                <c:pt idx="23">
                  <c:v>2.71152721833721</c:v>
                </c:pt>
                <c:pt idx="24">
                  <c:v>3.03412341244239</c:v>
                </c:pt>
                <c:pt idx="25">
                  <c:v>2.69203826263194</c:v>
                </c:pt>
                <c:pt idx="26">
                  <c:v>2.86600117274869</c:v>
                </c:pt>
                <c:pt idx="27">
                  <c:v>2.75690004677998</c:v>
                </c:pt>
                <c:pt idx="28">
                  <c:v>3.14756412597643</c:v>
                </c:pt>
                <c:pt idx="29">
                  <c:v>2.96655120155878</c:v>
                </c:pt>
                <c:pt idx="30">
                  <c:v>3.11935091158426</c:v>
                </c:pt>
                <c:pt idx="31">
                  <c:v>2.90225055233142</c:v>
                </c:pt>
                <c:pt idx="32">
                  <c:v>3.76709646085635</c:v>
                </c:pt>
                <c:pt idx="33">
                  <c:v>3.20030108350105</c:v>
                </c:pt>
                <c:pt idx="34">
                  <c:v>3.55168864165395</c:v>
                </c:pt>
                <c:pt idx="35">
                  <c:v>3.36955145507653</c:v>
                </c:pt>
                <c:pt idx="36">
                  <c:v>9.72757534930327</c:v>
                </c:pt>
                <c:pt idx="37">
                  <c:v>5.92379184592349</c:v>
                </c:pt>
                <c:pt idx="38">
                  <c:v>6.36924754251147</c:v>
                </c:pt>
                <c:pt idx="39">
                  <c:v>4.40275156137173</c:v>
                </c:pt>
                <c:pt idx="40">
                  <c:v>5.64976508213514</c:v>
                </c:pt>
                <c:pt idx="41">
                  <c:v>5.56853415244917</c:v>
                </c:pt>
                <c:pt idx="42">
                  <c:v>6.16014226703645</c:v>
                </c:pt>
                <c:pt idx="43">
                  <c:v>5.38992957506029</c:v>
                </c:pt>
                <c:pt idx="44">
                  <c:v>6.02928833602666</c:v>
                </c:pt>
                <c:pt idx="45">
                  <c:v>5.71170766394424</c:v>
                </c:pt>
                <c:pt idx="46">
                  <c:v>6.31635371678719</c:v>
                </c:pt>
                <c:pt idx="47">
                  <c:v>5.52786450435382</c:v>
                </c:pt>
                <c:pt idx="48">
                  <c:v>6.22635054206323</c:v>
                </c:pt>
                <c:pt idx="49">
                  <c:v>5.2049618400606</c:v>
                </c:pt>
                <c:pt idx="50">
                  <c:v>6.11710058527079</c:v>
                </c:pt>
                <c:pt idx="51">
                  <c:v>4.81847424434421</c:v>
                </c:pt>
                <c:pt idx="52">
                  <c:v>5.74201228055692</c:v>
                </c:pt>
                <c:pt idx="53">
                  <c:v>4.8600575707379</c:v>
                </c:pt>
                <c:pt idx="54">
                  <c:v>5.64211831872989</c:v>
                </c:pt>
                <c:pt idx="55">
                  <c:v>4.44012942767239</c:v>
                </c:pt>
                <c:pt idx="56">
                  <c:v>5.13173800579725</c:v>
                </c:pt>
                <c:pt idx="57">
                  <c:v>3.93701315542359</c:v>
                </c:pt>
                <c:pt idx="58">
                  <c:v>4.67388253184478</c:v>
                </c:pt>
                <c:pt idx="59">
                  <c:v>3.47113243319567</c:v>
                </c:pt>
                <c:pt idx="60">
                  <c:v>3.84759137220512</c:v>
                </c:pt>
                <c:pt idx="61">
                  <c:v>2.71115790057523</c:v>
                </c:pt>
                <c:pt idx="62">
                  <c:v>3.95793701120271</c:v>
                </c:pt>
                <c:pt idx="63">
                  <c:v>3.36571208343493</c:v>
                </c:pt>
                <c:pt idx="64">
                  <c:v>3.58387839368583</c:v>
                </c:pt>
                <c:pt idx="65">
                  <c:v>3.11366710649704</c:v>
                </c:pt>
                <c:pt idx="66">
                  <c:v>3.88995616283786</c:v>
                </c:pt>
                <c:pt idx="67">
                  <c:v>3.54779173583062</c:v>
                </c:pt>
                <c:pt idx="68">
                  <c:v>3.4563050170005</c:v>
                </c:pt>
                <c:pt idx="69">
                  <c:v>3.07927901414387</c:v>
                </c:pt>
                <c:pt idx="70">
                  <c:v>4.18386167061772</c:v>
                </c:pt>
                <c:pt idx="71">
                  <c:v>3.42184941700905</c:v>
                </c:pt>
                <c:pt idx="72">
                  <c:v>3.63491768947327</c:v>
                </c:pt>
                <c:pt idx="73">
                  <c:v>2.96907051327899</c:v>
                </c:pt>
                <c:pt idx="74">
                  <c:v>3.67210870137711</c:v>
                </c:pt>
                <c:pt idx="75">
                  <c:v>3.2701990739309</c:v>
                </c:pt>
                <c:pt idx="76">
                  <c:v>3.58335720164647</c:v>
                </c:pt>
                <c:pt idx="77">
                  <c:v>2.40343458317273</c:v>
                </c:pt>
                <c:pt idx="78">
                  <c:v>3.94616459244515</c:v>
                </c:pt>
                <c:pt idx="79">
                  <c:v>2.76479017992849</c:v>
                </c:pt>
                <c:pt idx="80">
                  <c:v>2.896083068698</c:v>
                </c:pt>
                <c:pt idx="81">
                  <c:v>2.46449006440857</c:v>
                </c:pt>
                <c:pt idx="82">
                  <c:v>2.67204878623344</c:v>
                </c:pt>
                <c:pt idx="83">
                  <c:v>2.5550658366436</c:v>
                </c:pt>
                <c:pt idx="84">
                  <c:v>2.21098221564885</c:v>
                </c:pt>
                <c:pt idx="85">
                  <c:v>2.31465793139802</c:v>
                </c:pt>
                <c:pt idx="86">
                  <c:v>4.06506414918755</c:v>
                </c:pt>
                <c:pt idx="87">
                  <c:v>3.34033164850898</c:v>
                </c:pt>
                <c:pt idx="88">
                  <c:v>3.99653345626544</c:v>
                </c:pt>
                <c:pt idx="89">
                  <c:v>3.91896848946807</c:v>
                </c:pt>
                <c:pt idx="90">
                  <c:v>6.86259398887755</c:v>
                </c:pt>
                <c:pt idx="91">
                  <c:v>5.21134502325725</c:v>
                </c:pt>
                <c:pt idx="92">
                  <c:v>6.91562032398673</c:v>
                </c:pt>
                <c:pt idx="93">
                  <c:v>5.16492189500839</c:v>
                </c:pt>
                <c:pt idx="94">
                  <c:v>7.32084020159803</c:v>
                </c:pt>
                <c:pt idx="95">
                  <c:v>4.95666158378897</c:v>
                </c:pt>
                <c:pt idx="96">
                  <c:v>5.65760128459312</c:v>
                </c:pt>
                <c:pt idx="97">
                  <c:v>4.75683861862883</c:v>
                </c:pt>
                <c:pt idx="98">
                  <c:v>5.94325875107925</c:v>
                </c:pt>
                <c:pt idx="99">
                  <c:v>4.25168965259246</c:v>
                </c:pt>
                <c:pt idx="100">
                  <c:v>4.45379850440538</c:v>
                </c:pt>
                <c:pt idx="101">
                  <c:v>3.88345753886294</c:v>
                </c:pt>
                <c:pt idx="102">
                  <c:v>5.93332154004045</c:v>
                </c:pt>
                <c:pt idx="103">
                  <c:v>4.48362488327746</c:v>
                </c:pt>
                <c:pt idx="104">
                  <c:v>3.81423518037018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528454"/>
        <c:axId val="67856652"/>
      </c:lineChart>
      <c:catAx>
        <c:axId val="11528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56652"/>
        <c:crosses val="autoZero"/>
        <c:auto val="1"/>
        <c:lblAlgn val="ctr"/>
        <c:lblOffset val="100"/>
        <c:noMultiLvlLbl val="0"/>
      </c:catAx>
      <c:valAx>
        <c:axId val="67856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28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UK: effective interest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Fiscal Arithmetic'!D4</c:f>
              <c:strCache>
                <c:ptCount val="1"/>
                <c:pt idx="0">
                  <c:v>i_eff (% p.a.)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Arithmetic'!$D$5:$D$109</c:f>
              <c:numCache>
                <c:formatCode>0.0000</c:formatCode>
                <c:ptCount val="105"/>
                <c:pt idx="1">
                  <c:v>8.99065949617889</c:v>
                </c:pt>
                <c:pt idx="2">
                  <c:v>9.9699971695443</c:v>
                </c:pt>
                <c:pt idx="3">
                  <c:v>9.8396723229959</c:v>
                </c:pt>
                <c:pt idx="4">
                  <c:v>11.1328842620943</c:v>
                </c:pt>
                <c:pt idx="5">
                  <c:v>10.024602460246</c:v>
                </c:pt>
                <c:pt idx="6">
                  <c:v>10.0993788819876</c:v>
                </c:pt>
                <c:pt idx="7">
                  <c:v>9.21344232515895</c:v>
                </c:pt>
                <c:pt idx="8">
                  <c:v>10.0862600123229</c:v>
                </c:pt>
                <c:pt idx="9">
                  <c:v>8.79284649776453</c:v>
                </c:pt>
                <c:pt idx="10">
                  <c:v>9.70114942528736</c:v>
                </c:pt>
                <c:pt idx="11">
                  <c:v>8.05072250073724</c:v>
                </c:pt>
                <c:pt idx="12">
                  <c:v>9.82887077997672</c:v>
                </c:pt>
                <c:pt idx="13">
                  <c:v>8.04014103607269</c:v>
                </c:pt>
                <c:pt idx="14">
                  <c:v>9.07475622968581</c:v>
                </c:pt>
                <c:pt idx="15">
                  <c:v>8.15233022636485</c:v>
                </c:pt>
                <c:pt idx="16">
                  <c:v>9.2509128847157</c:v>
                </c:pt>
                <c:pt idx="17">
                  <c:v>7.6826495304004</c:v>
                </c:pt>
                <c:pt idx="18">
                  <c:v>8.64573547589617</c:v>
                </c:pt>
                <c:pt idx="19">
                  <c:v>8.02138540213854</c:v>
                </c:pt>
                <c:pt idx="20">
                  <c:v>8.96803652968037</c:v>
                </c:pt>
                <c:pt idx="21">
                  <c:v>7.95342820181113</c:v>
                </c:pt>
                <c:pt idx="22">
                  <c:v>8.52419179865481</c:v>
                </c:pt>
                <c:pt idx="23">
                  <c:v>7.80984576378618</c:v>
                </c:pt>
                <c:pt idx="24">
                  <c:v>8.68942685702462</c:v>
                </c:pt>
                <c:pt idx="25">
                  <c:v>7.50268123138034</c:v>
                </c:pt>
                <c:pt idx="26">
                  <c:v>8.17220664797757</c:v>
                </c:pt>
                <c:pt idx="27">
                  <c:v>7.65</c:v>
                </c:pt>
                <c:pt idx="28">
                  <c:v>8.77239801753717</c:v>
                </c:pt>
                <c:pt idx="29">
                  <c:v>8.13506493506494</c:v>
                </c:pt>
                <c:pt idx="30">
                  <c:v>8.7085201793722</c:v>
                </c:pt>
                <c:pt idx="31">
                  <c:v>7.96952104499274</c:v>
                </c:pt>
                <c:pt idx="32">
                  <c:v>10.4354430379747</c:v>
                </c:pt>
                <c:pt idx="33">
                  <c:v>8.64103010266226</c:v>
                </c:pt>
                <c:pt idx="34">
                  <c:v>9.84837799717913</c:v>
                </c:pt>
                <c:pt idx="35">
                  <c:v>8.91384769205133</c:v>
                </c:pt>
                <c:pt idx="36">
                  <c:v>22.8302994715208</c:v>
                </c:pt>
                <c:pt idx="37">
                  <c:v>12.6566208827844</c:v>
                </c:pt>
                <c:pt idx="38">
                  <c:v>12.8831300813008</c:v>
                </c:pt>
                <c:pt idx="39">
                  <c:v>8.18029892903378</c:v>
                </c:pt>
                <c:pt idx="40">
                  <c:v>10.0941310541311</c:v>
                </c:pt>
                <c:pt idx="41">
                  <c:v>9.05862716461506</c:v>
                </c:pt>
                <c:pt idx="42">
                  <c:v>9.39546648506664</c:v>
                </c:pt>
                <c:pt idx="43">
                  <c:v>7.98090066473177</c:v>
                </c:pt>
                <c:pt idx="44">
                  <c:v>8.6963592013732</c:v>
                </c:pt>
                <c:pt idx="45">
                  <c:v>8.00798264642083</c:v>
                </c:pt>
                <c:pt idx="46">
                  <c:v>8.83237785573714</c:v>
                </c:pt>
                <c:pt idx="47">
                  <c:v>7.5610607698063</c:v>
                </c:pt>
                <c:pt idx="48">
                  <c:v>8.46427692560085</c:v>
                </c:pt>
                <c:pt idx="49">
                  <c:v>6.9502638733408</c:v>
                </c:pt>
                <c:pt idx="50">
                  <c:v>8.14939338672587</c:v>
                </c:pt>
                <c:pt idx="51">
                  <c:v>6.32230059685296</c:v>
                </c:pt>
                <c:pt idx="52">
                  <c:v>7.49239819695928</c:v>
                </c:pt>
                <c:pt idx="53">
                  <c:v>6.1785424204386</c:v>
                </c:pt>
                <c:pt idx="54">
                  <c:v>7.16556873078612</c:v>
                </c:pt>
                <c:pt idx="55">
                  <c:v>5.56571510338413</c:v>
                </c:pt>
                <c:pt idx="56">
                  <c:v>6.41543026706231</c:v>
                </c:pt>
                <c:pt idx="57">
                  <c:v>4.84896048464822</c:v>
                </c:pt>
                <c:pt idx="58">
                  <c:v>5.78906303469988</c:v>
                </c:pt>
                <c:pt idx="59">
                  <c:v>4.24247279524668</c:v>
                </c:pt>
                <c:pt idx="60">
                  <c:v>4.71233238655129</c:v>
                </c:pt>
                <c:pt idx="61">
                  <c:v>3.27805003868971</c:v>
                </c:pt>
                <c:pt idx="62">
                  <c:v>4.82634190347316</c:v>
                </c:pt>
                <c:pt idx="63">
                  <c:v>4.0679383991381</c:v>
                </c:pt>
                <c:pt idx="64">
                  <c:v>4.3357120303126</c:v>
                </c:pt>
                <c:pt idx="65">
                  <c:v>3.74521180360596</c:v>
                </c:pt>
                <c:pt idx="66">
                  <c:v>4.73780564263323</c:v>
                </c:pt>
                <c:pt idx="67">
                  <c:v>4.29308641975309</c:v>
                </c:pt>
                <c:pt idx="68">
                  <c:v>4.20605390802481</c:v>
                </c:pt>
                <c:pt idx="69">
                  <c:v>3.65148467999527</c:v>
                </c:pt>
                <c:pt idx="70">
                  <c:v>4.95234762321377</c:v>
                </c:pt>
                <c:pt idx="71">
                  <c:v>4.01599908576653</c:v>
                </c:pt>
                <c:pt idx="72">
                  <c:v>4.2523822948971</c:v>
                </c:pt>
                <c:pt idx="73">
                  <c:v>3.56918491344721</c:v>
                </c:pt>
                <c:pt idx="74">
                  <c:v>4.41847764250768</c:v>
                </c:pt>
                <c:pt idx="75">
                  <c:v>3.92111916399798</c:v>
                </c:pt>
                <c:pt idx="76">
                  <c:v>4.34713070901616</c:v>
                </c:pt>
                <c:pt idx="77">
                  <c:v>2.90181252084955</c:v>
                </c:pt>
                <c:pt idx="78">
                  <c:v>4.86689189189189</c:v>
                </c:pt>
                <c:pt idx="79">
                  <c:v>3.37922264609941</c:v>
                </c:pt>
                <c:pt idx="80">
                  <c:v>3.57676991150443</c:v>
                </c:pt>
                <c:pt idx="81">
                  <c:v>3.02171428571429</c:v>
                </c:pt>
                <c:pt idx="82">
                  <c:v>3.32327348826963</c:v>
                </c:pt>
                <c:pt idx="83">
                  <c:v>2.74965421853389</c:v>
                </c:pt>
                <c:pt idx="84">
                  <c:v>2.29908168197197</c:v>
                </c:pt>
                <c:pt idx="85">
                  <c:v>2.28478513356562</c:v>
                </c:pt>
                <c:pt idx="86">
                  <c:v>3.98088255765394</c:v>
                </c:pt>
                <c:pt idx="87">
                  <c:v>3.31086546238878</c:v>
                </c:pt>
                <c:pt idx="88">
                  <c:v>4.03505320575874</c:v>
                </c:pt>
                <c:pt idx="89">
                  <c:v>3.84928320717216</c:v>
                </c:pt>
                <c:pt idx="90">
                  <c:v>6.91952284946237</c:v>
                </c:pt>
                <c:pt idx="91">
                  <c:v>5.29172678181294</c:v>
                </c:pt>
                <c:pt idx="92">
                  <c:v>7.1336443244128</c:v>
                </c:pt>
                <c:pt idx="93">
                  <c:v>5.32938871786671</c:v>
                </c:pt>
                <c:pt idx="94">
                  <c:v>7.58436456491848</c:v>
                </c:pt>
                <c:pt idx="95">
                  <c:v>5.10297272448667</c:v>
                </c:pt>
                <c:pt idx="96">
                  <c:v>5.91884124612024</c:v>
                </c:pt>
                <c:pt idx="97">
                  <c:v>4.8564751270542</c:v>
                </c:pt>
                <c:pt idx="98">
                  <c:v>6.14894250819184</c:v>
                </c:pt>
                <c:pt idx="99">
                  <c:v>4.36984144421253</c:v>
                </c:pt>
                <c:pt idx="100">
                  <c:v>4.59250126912757</c:v>
                </c:pt>
                <c:pt idx="101">
                  <c:v>3.9883497904383</c:v>
                </c:pt>
                <c:pt idx="102">
                  <c:v>6.2063605248146</c:v>
                </c:pt>
                <c:pt idx="103">
                  <c:v>4.64988143395174</c:v>
                </c:pt>
                <c:pt idx="104">
                  <c:v>3.93904029656072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662509"/>
        <c:axId val="81113870"/>
      </c:lineChart>
      <c:catAx>
        <c:axId val="77662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13870"/>
        <c:crosses val="autoZero"/>
        <c:auto val="1"/>
        <c:lblAlgn val="ctr"/>
        <c:lblOffset val="100"/>
        <c:noMultiLvlLbl val="0"/>
      </c:catAx>
      <c:valAx>
        <c:axId val="81113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62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UK: PROJECTED debt service DSVC with 16/84 band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Projection'!D4</c:f>
              <c:strCache>
                <c:ptCount val="1"/>
                <c:pt idx="0">
                  <c:v>DSVC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Projection'!$D$5:$D$25</c:f>
              <c:numCache>
                <c:formatCode>0.0000</c:formatCode>
                <c:ptCount val="21"/>
                <c:pt idx="1">
                  <c:v>4.20922</c:v>
                </c:pt>
                <c:pt idx="2">
                  <c:v>3.94021</c:v>
                </c:pt>
                <c:pt idx="3">
                  <c:v>4.00228</c:v>
                </c:pt>
                <c:pt idx="4">
                  <c:v>3.82057</c:v>
                </c:pt>
                <c:pt idx="5">
                  <c:v>3.78633</c:v>
                </c:pt>
                <c:pt idx="6">
                  <c:v>3.65596</c:v>
                </c:pt>
                <c:pt idx="7">
                  <c:v>3.62247</c:v>
                </c:pt>
                <c:pt idx="8">
                  <c:v>3.54003</c:v>
                </c:pt>
                <c:pt idx="9">
                  <c:v>3.5033</c:v>
                </c:pt>
                <c:pt idx="10">
                  <c:v>3.4484</c:v>
                </c:pt>
                <c:pt idx="11">
                  <c:v>3.41733</c:v>
                </c:pt>
                <c:pt idx="12">
                  <c:v>3.3808</c:v>
                </c:pt>
                <c:pt idx="13">
                  <c:v>3.35806</c:v>
                </c:pt>
                <c:pt idx="14">
                  <c:v>3.33557</c:v>
                </c:pt>
                <c:pt idx="15">
                  <c:v>3.32186</c:v>
                </c:pt>
                <c:pt idx="16">
                  <c:v>3.31039</c:v>
                </c:pt>
                <c:pt idx="17">
                  <c:v>3.30485</c:v>
                </c:pt>
                <c:pt idx="18">
                  <c:v>3.30203</c:v>
                </c:pt>
                <c:pt idx="19">
                  <c:v>3.30343</c:v>
                </c:pt>
                <c:pt idx="20">
                  <c:v>3.30741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'UK Projection'!E4</c:f>
              <c:strCache>
                <c:ptCount val="1"/>
                <c:pt idx="0">
                  <c:v>DSVC q16 (% GDP)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Projection'!$E$5:$E$25</c:f>
              <c:numCache>
                <c:formatCode>0.0000</c:formatCode>
                <c:ptCount val="21"/>
                <c:pt idx="1">
                  <c:v>3.25349</c:v>
                </c:pt>
                <c:pt idx="2">
                  <c:v>2.7327</c:v>
                </c:pt>
                <c:pt idx="3">
                  <c:v>2.37488</c:v>
                </c:pt>
                <c:pt idx="4">
                  <c:v>2.21108</c:v>
                </c:pt>
                <c:pt idx="5">
                  <c:v>1.81765</c:v>
                </c:pt>
                <c:pt idx="6">
                  <c:v>1.58561</c:v>
                </c:pt>
                <c:pt idx="7">
                  <c:v>1.47366</c:v>
                </c:pt>
                <c:pt idx="8">
                  <c:v>1.31501</c:v>
                </c:pt>
                <c:pt idx="9">
                  <c:v>0.89768</c:v>
                </c:pt>
                <c:pt idx="10">
                  <c:v>0.959182</c:v>
                </c:pt>
                <c:pt idx="11">
                  <c:v>0.660193</c:v>
                </c:pt>
                <c:pt idx="12">
                  <c:v>0.574557</c:v>
                </c:pt>
                <c:pt idx="13">
                  <c:v>0.248045</c:v>
                </c:pt>
                <c:pt idx="14">
                  <c:v>0.495956</c:v>
                </c:pt>
                <c:pt idx="15">
                  <c:v>0.276671</c:v>
                </c:pt>
                <c:pt idx="16">
                  <c:v>0.450748</c:v>
                </c:pt>
                <c:pt idx="17">
                  <c:v>0.224315</c:v>
                </c:pt>
                <c:pt idx="18">
                  <c:v>0.151112</c:v>
                </c:pt>
                <c:pt idx="19">
                  <c:v>0.28153</c:v>
                </c:pt>
                <c:pt idx="20">
                  <c:v>0.0223507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'UK Projection'!F4</c:f>
              <c:strCache>
                <c:ptCount val="1"/>
                <c:pt idx="0">
                  <c:v>DSVC q84 (% GDP)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Projection'!$F$5:$F$25</c:f>
              <c:numCache>
                <c:formatCode>0.0000</c:formatCode>
                <c:ptCount val="21"/>
                <c:pt idx="1">
                  <c:v>5.12381</c:v>
                </c:pt>
                <c:pt idx="2">
                  <c:v>5.10054</c:v>
                </c:pt>
                <c:pt idx="3">
                  <c:v>5.38296</c:v>
                </c:pt>
                <c:pt idx="4">
                  <c:v>5.50767</c:v>
                </c:pt>
                <c:pt idx="5">
                  <c:v>5.64089</c:v>
                </c:pt>
                <c:pt idx="6">
                  <c:v>5.78978</c:v>
                </c:pt>
                <c:pt idx="7">
                  <c:v>5.84045</c:v>
                </c:pt>
                <c:pt idx="8">
                  <c:v>6.05293</c:v>
                </c:pt>
                <c:pt idx="9">
                  <c:v>6.07453</c:v>
                </c:pt>
                <c:pt idx="10">
                  <c:v>6.20895</c:v>
                </c:pt>
                <c:pt idx="11">
                  <c:v>6.1112</c:v>
                </c:pt>
                <c:pt idx="12">
                  <c:v>6.21303</c:v>
                </c:pt>
                <c:pt idx="13">
                  <c:v>6.25392</c:v>
                </c:pt>
                <c:pt idx="14">
                  <c:v>6.54295</c:v>
                </c:pt>
                <c:pt idx="15">
                  <c:v>6.42138</c:v>
                </c:pt>
                <c:pt idx="16">
                  <c:v>6.5639</c:v>
                </c:pt>
                <c:pt idx="17">
                  <c:v>6.60382</c:v>
                </c:pt>
                <c:pt idx="18">
                  <c:v>6.6108</c:v>
                </c:pt>
                <c:pt idx="19">
                  <c:v>6.96272</c:v>
                </c:pt>
                <c:pt idx="20">
                  <c:v>7.1005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678278"/>
        <c:axId val="27559546"/>
      </c:lineChart>
      <c:catAx>
        <c:axId val="726782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59546"/>
        <c:crosses val="autoZero"/>
        <c:auto val="1"/>
        <c:lblAlgn val="ctr"/>
        <c:lblOffset val="100"/>
        <c:noMultiLvlLbl val="0"/>
      </c:catAx>
      <c:valAx>
        <c:axId val="27559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782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UK: PROJECTED debt/GDP (col M) ahead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Projection'!M4</c:f>
              <c:strCache>
                <c:ptCount val="1"/>
                <c:pt idx="0">
                  <c:v>d_t (% GDP)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Projection'!$M$5:$M$25</c:f>
              <c:numCache>
                <c:formatCode>0.0000</c:formatCode>
                <c:ptCount val="21"/>
                <c:pt idx="1">
                  <c:v>96.0816450180423</c:v>
                </c:pt>
                <c:pt idx="2">
                  <c:v>95.9811755362256</c:v>
                </c:pt>
                <c:pt idx="3">
                  <c:v>95.8044574458521</c:v>
                </c:pt>
                <c:pt idx="4">
                  <c:v>95.693077248798</c:v>
                </c:pt>
                <c:pt idx="5">
                  <c:v>95.5140003215059</c:v>
                </c:pt>
                <c:pt idx="6">
                  <c:v>95.3462056528791</c:v>
                </c:pt>
                <c:pt idx="7">
                  <c:v>95.1652027335943</c:v>
                </c:pt>
                <c:pt idx="8">
                  <c:v>95.0089652281355</c:v>
                </c:pt>
                <c:pt idx="9">
                  <c:v>94.8534613836075</c:v>
                </c:pt>
                <c:pt idx="10">
                  <c:v>94.7180657248834</c:v>
                </c:pt>
                <c:pt idx="11">
                  <c:v>94.5920537300165</c:v>
                </c:pt>
                <c:pt idx="12">
                  <c:v>94.465521347725</c:v>
                </c:pt>
                <c:pt idx="13">
                  <c:v>94.352398327305</c:v>
                </c:pt>
                <c:pt idx="14">
                  <c:v>94.2452343264114</c:v>
                </c:pt>
                <c:pt idx="15">
                  <c:v>94.1444984963351</c:v>
                </c:pt>
                <c:pt idx="16">
                  <c:v>94.0490612918034</c:v>
                </c:pt>
                <c:pt idx="17">
                  <c:v>93.9578882146706</c:v>
                </c:pt>
                <c:pt idx="18">
                  <c:v>93.8821798779642</c:v>
                </c:pt>
                <c:pt idx="19">
                  <c:v>93.8010563205811</c:v>
                </c:pt>
                <c:pt idx="20">
                  <c:v>93.7333885794386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880360"/>
        <c:axId val="81176472"/>
      </c:lineChart>
      <c:catAx>
        <c:axId val="6288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76472"/>
        <c:crosses val="autoZero"/>
        <c:auto val="1"/>
        <c:lblAlgn val="ctr"/>
        <c:lblOffset val="100"/>
        <c:noMultiLvlLbl val="0"/>
      </c:catAx>
      <c:valAx>
        <c:axId val="81176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80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UK: PROJECTED effective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'UK Projection'!K4</c:f>
              <c:strCache>
                <c:ptCount val="1"/>
                <c:pt idx="0">
                  <c:v>i_eff (% p.a.)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Projection'!$K$5:$K$25</c:f>
              <c:numCache>
                <c:formatCode>0.0000</c:formatCode>
                <c:ptCount val="21"/>
                <c:pt idx="1">
                  <c:v>4.37361350372418</c:v>
                </c:pt>
                <c:pt idx="2">
                  <c:v>4.10089773052918</c:v>
                </c:pt>
                <c:pt idx="3">
                  <c:v>4.1698593267275</c:v>
                </c:pt>
                <c:pt idx="4">
                  <c:v>3.98788334265069</c:v>
                </c:pt>
                <c:pt idx="5">
                  <c:v>3.95674390338154</c:v>
                </c:pt>
                <c:pt idx="6">
                  <c:v>3.82766922932117</c:v>
                </c:pt>
                <c:pt idx="7">
                  <c:v>3.79928071095781</c:v>
                </c:pt>
                <c:pt idx="8">
                  <c:v>3.71987858830078</c:v>
                </c:pt>
                <c:pt idx="9">
                  <c:v>3.6873362335732</c:v>
                </c:pt>
                <c:pt idx="10">
                  <c:v>3.63550254223611</c:v>
                </c:pt>
                <c:pt idx="11">
                  <c:v>3.60789673421533</c:v>
                </c:pt>
                <c:pt idx="12">
                  <c:v>3.57408457337171</c:v>
                </c:pt>
                <c:pt idx="13">
                  <c:v>3.55479962645744</c:v>
                </c:pt>
                <c:pt idx="14">
                  <c:v>3.53522545174637</c:v>
                </c:pt>
                <c:pt idx="15">
                  <c:v>3.52469811735518</c:v>
                </c:pt>
                <c:pt idx="16">
                  <c:v>3.51628619077393</c:v>
                </c:pt>
                <c:pt idx="17">
                  <c:v>3.51396383398887</c:v>
                </c:pt>
                <c:pt idx="18">
                  <c:v>3.51437230310634</c:v>
                </c:pt>
                <c:pt idx="19">
                  <c:v>3.51869758914212</c:v>
                </c:pt>
                <c:pt idx="20">
                  <c:v>3.52598374659701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925577"/>
        <c:axId val="48705330"/>
      </c:lineChart>
      <c:catAx>
        <c:axId val="37925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05330"/>
        <c:crosses val="autoZero"/>
        <c:auto val="1"/>
        <c:lblAlgn val="ctr"/>
        <c:lblOffset val="100"/>
        <c:noMultiLvlLbl val="0"/>
      </c:catAx>
      <c:valAx>
        <c:axId val="48705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25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16</xdr:col>
      <xdr:colOff>290520</xdr:colOff>
      <xdr:row>14</xdr:row>
      <xdr:rowOff>184320</xdr:rowOff>
    </xdr:to>
    <xdr:graphicFrame>
      <xdr:nvGraphicFramePr>
        <xdr:cNvPr id="0" name="Chart 1"/>
        <xdr:cNvGraphicFramePr/>
      </xdr:nvGraphicFramePr>
      <xdr:xfrm>
        <a:off x="11089080" y="380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151920</xdr:rowOff>
    </xdr:from>
    <xdr:to>
      <xdr:col>16</xdr:col>
      <xdr:colOff>290520</xdr:colOff>
      <xdr:row>30</xdr:row>
      <xdr:rowOff>184320</xdr:rowOff>
    </xdr:to>
    <xdr:graphicFrame>
      <xdr:nvGraphicFramePr>
        <xdr:cNvPr id="1" name="Chart 2"/>
        <xdr:cNvGraphicFramePr/>
      </xdr:nvGraphicFramePr>
      <xdr:xfrm>
        <a:off x="11089080" y="3429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151920</xdr:rowOff>
    </xdr:from>
    <xdr:to>
      <xdr:col>16</xdr:col>
      <xdr:colOff>290520</xdr:colOff>
      <xdr:row>46</xdr:row>
      <xdr:rowOff>184680</xdr:rowOff>
    </xdr:to>
    <xdr:graphicFrame>
      <xdr:nvGraphicFramePr>
        <xdr:cNvPr id="2" name="Chart 3"/>
        <xdr:cNvGraphicFramePr/>
      </xdr:nvGraphicFramePr>
      <xdr:xfrm>
        <a:off x="11089080" y="64771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151560</xdr:rowOff>
    </xdr:from>
    <xdr:to>
      <xdr:col>16</xdr:col>
      <xdr:colOff>290520</xdr:colOff>
      <xdr:row>62</xdr:row>
      <xdr:rowOff>184320</xdr:rowOff>
    </xdr:to>
    <xdr:graphicFrame>
      <xdr:nvGraphicFramePr>
        <xdr:cNvPr id="3" name="Chart 4"/>
        <xdr:cNvGraphicFramePr/>
      </xdr:nvGraphicFramePr>
      <xdr:xfrm>
        <a:off x="11089080" y="9524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64</xdr:row>
      <xdr:rowOff>151920</xdr:rowOff>
    </xdr:from>
    <xdr:to>
      <xdr:col>16</xdr:col>
      <xdr:colOff>290520</xdr:colOff>
      <xdr:row>78</xdr:row>
      <xdr:rowOff>184320</xdr:rowOff>
    </xdr:to>
    <xdr:graphicFrame>
      <xdr:nvGraphicFramePr>
        <xdr:cNvPr id="4" name="Chart 5"/>
        <xdr:cNvGraphicFramePr/>
      </xdr:nvGraphicFramePr>
      <xdr:xfrm>
        <a:off x="11089080" y="12573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130680</xdr:rowOff>
    </xdr:from>
    <xdr:to>
      <xdr:col>19</xdr:col>
      <xdr:colOff>322560</xdr:colOff>
      <xdr:row>13</xdr:row>
      <xdr:rowOff>92880</xdr:rowOff>
    </xdr:to>
    <xdr:graphicFrame>
      <xdr:nvGraphicFramePr>
        <xdr:cNvPr id="5" name="Chart 1"/>
        <xdr:cNvGraphicFramePr/>
      </xdr:nvGraphicFramePr>
      <xdr:xfrm>
        <a:off x="11568960" y="126684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60480</xdr:rowOff>
    </xdr:from>
    <xdr:to>
      <xdr:col>19</xdr:col>
      <xdr:colOff>322560</xdr:colOff>
      <xdr:row>29</xdr:row>
      <xdr:rowOff>93240</xdr:rowOff>
    </xdr:to>
    <xdr:graphicFrame>
      <xdr:nvGraphicFramePr>
        <xdr:cNvPr id="6" name="Chart 2"/>
        <xdr:cNvGraphicFramePr/>
      </xdr:nvGraphicFramePr>
      <xdr:xfrm>
        <a:off x="11568960" y="431496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31</xdr:row>
      <xdr:rowOff>60120</xdr:rowOff>
    </xdr:from>
    <xdr:to>
      <xdr:col>19</xdr:col>
      <xdr:colOff>322560</xdr:colOff>
      <xdr:row>45</xdr:row>
      <xdr:rowOff>92880</xdr:rowOff>
    </xdr:to>
    <xdr:graphicFrame>
      <xdr:nvGraphicFramePr>
        <xdr:cNvPr id="7" name="Chart 3"/>
        <xdr:cNvGraphicFramePr/>
      </xdr:nvGraphicFramePr>
      <xdr:xfrm>
        <a:off x="11568960" y="736272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130680</xdr:rowOff>
    </xdr:from>
    <xdr:to>
      <xdr:col>25</xdr:col>
      <xdr:colOff>354960</xdr:colOff>
      <xdr:row>13</xdr:row>
      <xdr:rowOff>111600</xdr:rowOff>
    </xdr:to>
    <xdr:graphicFrame>
      <xdr:nvGraphicFramePr>
        <xdr:cNvPr id="8" name="Chart 1"/>
        <xdr:cNvGraphicFramePr/>
      </xdr:nvGraphicFramePr>
      <xdr:xfrm>
        <a:off x="15889680" y="1771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354960</xdr:colOff>
      <xdr:row>30</xdr:row>
      <xdr:rowOff>122040</xdr:rowOff>
    </xdr:to>
    <xdr:graphicFrame>
      <xdr:nvGraphicFramePr>
        <xdr:cNvPr id="9" name="Chart 2"/>
        <xdr:cNvGraphicFramePr/>
      </xdr:nvGraphicFramePr>
      <xdr:xfrm>
        <a:off x="15889680" y="5200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354960</xdr:colOff>
      <xdr:row>46</xdr:row>
      <xdr:rowOff>122040</xdr:rowOff>
    </xdr:to>
    <xdr:graphicFrame>
      <xdr:nvGraphicFramePr>
        <xdr:cNvPr id="10" name="Chart 3"/>
        <xdr:cNvGraphicFramePr/>
      </xdr:nvGraphicFramePr>
      <xdr:xfrm>
        <a:off x="15889680" y="824868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130680</xdr:rowOff>
    </xdr:from>
    <xdr:to>
      <xdr:col>25</xdr:col>
      <xdr:colOff>354600</xdr:colOff>
      <xdr:row>13</xdr:row>
      <xdr:rowOff>111600</xdr:rowOff>
    </xdr:to>
    <xdr:graphicFrame>
      <xdr:nvGraphicFramePr>
        <xdr:cNvPr id="11" name="Chart 1"/>
        <xdr:cNvGraphicFramePr/>
      </xdr:nvGraphicFramePr>
      <xdr:xfrm>
        <a:off x="15729480" y="1771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354600</xdr:colOff>
      <xdr:row>27</xdr:row>
      <xdr:rowOff>179280</xdr:rowOff>
    </xdr:to>
    <xdr:graphicFrame>
      <xdr:nvGraphicFramePr>
        <xdr:cNvPr id="12" name="Chart 2"/>
        <xdr:cNvGraphicFramePr/>
      </xdr:nvGraphicFramePr>
      <xdr:xfrm>
        <a:off x="15729480" y="5200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354600</xdr:colOff>
      <xdr:row>46</xdr:row>
      <xdr:rowOff>122400</xdr:rowOff>
    </xdr:to>
    <xdr:graphicFrame>
      <xdr:nvGraphicFramePr>
        <xdr:cNvPr id="13" name="Chart 3"/>
        <xdr:cNvGraphicFramePr/>
      </xdr:nvGraphicFramePr>
      <xdr:xfrm>
        <a:off x="15729480" y="876312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16</xdr:col>
      <xdr:colOff>290520</xdr:colOff>
      <xdr:row>15</xdr:row>
      <xdr:rowOff>12960</xdr:rowOff>
    </xdr:to>
    <xdr:graphicFrame>
      <xdr:nvGraphicFramePr>
        <xdr:cNvPr id="14" name="Chart 1"/>
        <xdr:cNvGraphicFramePr/>
      </xdr:nvGraphicFramePr>
      <xdr:xfrm>
        <a:off x="11089080" y="380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170640</xdr:rowOff>
    </xdr:from>
    <xdr:to>
      <xdr:col>16</xdr:col>
      <xdr:colOff>290520</xdr:colOff>
      <xdr:row>31</xdr:row>
      <xdr:rowOff>12960</xdr:rowOff>
    </xdr:to>
    <xdr:graphicFrame>
      <xdr:nvGraphicFramePr>
        <xdr:cNvPr id="15" name="Chart 2"/>
        <xdr:cNvGraphicFramePr/>
      </xdr:nvGraphicFramePr>
      <xdr:xfrm>
        <a:off x="11089080" y="3429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171000</xdr:rowOff>
    </xdr:from>
    <xdr:to>
      <xdr:col>16</xdr:col>
      <xdr:colOff>290520</xdr:colOff>
      <xdr:row>47</xdr:row>
      <xdr:rowOff>12960</xdr:rowOff>
    </xdr:to>
    <xdr:graphicFrame>
      <xdr:nvGraphicFramePr>
        <xdr:cNvPr id="16" name="Chart 3"/>
        <xdr:cNvGraphicFramePr/>
      </xdr:nvGraphicFramePr>
      <xdr:xfrm>
        <a:off x="11089080" y="64771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170640</xdr:rowOff>
    </xdr:from>
    <xdr:to>
      <xdr:col>16</xdr:col>
      <xdr:colOff>290520</xdr:colOff>
      <xdr:row>63</xdr:row>
      <xdr:rowOff>12960</xdr:rowOff>
    </xdr:to>
    <xdr:graphicFrame>
      <xdr:nvGraphicFramePr>
        <xdr:cNvPr id="17" name="Chart 4"/>
        <xdr:cNvGraphicFramePr/>
      </xdr:nvGraphicFramePr>
      <xdr:xfrm>
        <a:off x="11089080" y="9524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64</xdr:row>
      <xdr:rowOff>170640</xdr:rowOff>
    </xdr:from>
    <xdr:to>
      <xdr:col>16</xdr:col>
      <xdr:colOff>290520</xdr:colOff>
      <xdr:row>79</xdr:row>
      <xdr:rowOff>12960</xdr:rowOff>
    </xdr:to>
    <xdr:graphicFrame>
      <xdr:nvGraphicFramePr>
        <xdr:cNvPr id="18" name="Chart 5"/>
        <xdr:cNvGraphicFramePr/>
      </xdr:nvGraphicFramePr>
      <xdr:xfrm>
        <a:off x="11089080" y="12573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130680</xdr:rowOff>
    </xdr:from>
    <xdr:to>
      <xdr:col>21</xdr:col>
      <xdr:colOff>322920</xdr:colOff>
      <xdr:row>12</xdr:row>
      <xdr:rowOff>122040</xdr:rowOff>
    </xdr:to>
    <xdr:graphicFrame>
      <xdr:nvGraphicFramePr>
        <xdr:cNvPr id="19" name="Chart 1"/>
        <xdr:cNvGraphicFramePr/>
      </xdr:nvGraphicFramePr>
      <xdr:xfrm>
        <a:off x="12289320" y="108576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89640</xdr:rowOff>
    </xdr:from>
    <xdr:to>
      <xdr:col>21</xdr:col>
      <xdr:colOff>322920</xdr:colOff>
      <xdr:row>28</xdr:row>
      <xdr:rowOff>122040</xdr:rowOff>
    </xdr:to>
    <xdr:graphicFrame>
      <xdr:nvGraphicFramePr>
        <xdr:cNvPr id="20" name="Chart 2"/>
        <xdr:cNvGraphicFramePr/>
      </xdr:nvGraphicFramePr>
      <xdr:xfrm>
        <a:off x="12289320" y="413388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30</xdr:row>
      <xdr:rowOff>89640</xdr:rowOff>
    </xdr:from>
    <xdr:to>
      <xdr:col>21</xdr:col>
      <xdr:colOff>322920</xdr:colOff>
      <xdr:row>44</xdr:row>
      <xdr:rowOff>122400</xdr:rowOff>
    </xdr:to>
    <xdr:graphicFrame>
      <xdr:nvGraphicFramePr>
        <xdr:cNvPr id="21" name="Chart 3"/>
        <xdr:cNvGraphicFramePr/>
      </xdr:nvGraphicFramePr>
      <xdr:xfrm>
        <a:off x="12289320" y="718200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130680</xdr:rowOff>
    </xdr:from>
    <xdr:to>
      <xdr:col>25</xdr:col>
      <xdr:colOff>354960</xdr:colOff>
      <xdr:row>13</xdr:row>
      <xdr:rowOff>111600</xdr:rowOff>
    </xdr:to>
    <xdr:graphicFrame>
      <xdr:nvGraphicFramePr>
        <xdr:cNvPr id="22" name="Chart 1"/>
        <xdr:cNvGraphicFramePr/>
      </xdr:nvGraphicFramePr>
      <xdr:xfrm>
        <a:off x="15889680" y="1771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354960</xdr:colOff>
      <xdr:row>30</xdr:row>
      <xdr:rowOff>122040</xdr:rowOff>
    </xdr:to>
    <xdr:graphicFrame>
      <xdr:nvGraphicFramePr>
        <xdr:cNvPr id="23" name="Chart 2"/>
        <xdr:cNvGraphicFramePr/>
      </xdr:nvGraphicFramePr>
      <xdr:xfrm>
        <a:off x="15889680" y="5200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354960</xdr:colOff>
      <xdr:row>46</xdr:row>
      <xdr:rowOff>122040</xdr:rowOff>
    </xdr:to>
    <xdr:graphicFrame>
      <xdr:nvGraphicFramePr>
        <xdr:cNvPr id="24" name="Chart 3"/>
        <xdr:cNvGraphicFramePr/>
      </xdr:nvGraphicFramePr>
      <xdr:xfrm>
        <a:off x="15889680" y="824868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130680</xdr:rowOff>
    </xdr:from>
    <xdr:to>
      <xdr:col>25</xdr:col>
      <xdr:colOff>354600</xdr:colOff>
      <xdr:row>13</xdr:row>
      <xdr:rowOff>111600</xdr:rowOff>
    </xdr:to>
    <xdr:graphicFrame>
      <xdr:nvGraphicFramePr>
        <xdr:cNvPr id="25" name="Chart 1"/>
        <xdr:cNvGraphicFramePr/>
      </xdr:nvGraphicFramePr>
      <xdr:xfrm>
        <a:off x="15729480" y="1771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354600</xdr:colOff>
      <xdr:row>27</xdr:row>
      <xdr:rowOff>179280</xdr:rowOff>
    </xdr:to>
    <xdr:graphicFrame>
      <xdr:nvGraphicFramePr>
        <xdr:cNvPr id="26" name="Chart 2"/>
        <xdr:cNvGraphicFramePr/>
      </xdr:nvGraphicFramePr>
      <xdr:xfrm>
        <a:off x="15729480" y="5200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354600</xdr:colOff>
      <xdr:row>46</xdr:row>
      <xdr:rowOff>122400</xdr:rowOff>
    </xdr:to>
    <xdr:graphicFrame>
      <xdr:nvGraphicFramePr>
        <xdr:cNvPr id="27" name="Chart 3"/>
        <xdr:cNvGraphicFramePr/>
      </xdr:nvGraphicFramePr>
      <xdr:xfrm>
        <a:off x="15729480" y="876312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5"/>
  </cols>
  <sheetData>
    <row r="1" customFormat="false" ht="19.7" hidden="false" customHeight="false" outlineLevel="0" collapsed="false">
      <c r="A1" s="1" t="s">
        <v>0</v>
      </c>
      <c r="B1" s="1"/>
    </row>
    <row r="3" customFormat="false" ht="18" hidden="false" customHeight="true" outlineLevel="0" collapsed="false">
      <c r="A3" s="2" t="s">
        <v>1</v>
      </c>
      <c r="B3" s="2"/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/>
      <c r="B6" s="4"/>
    </row>
    <row r="7" customFormat="false" ht="18" hidden="false" customHeight="true" outlineLevel="0" collapsed="false">
      <c r="A7" s="2" t="s">
        <v>6</v>
      </c>
      <c r="B7" s="2"/>
    </row>
    <row r="8" customFormat="false" ht="18" hidden="false" customHeight="true" outlineLevel="0" collapsed="false">
      <c r="A8" s="3" t="s">
        <v>7</v>
      </c>
      <c r="B8" s="4" t="s">
        <v>8</v>
      </c>
    </row>
    <row r="9" customFormat="false" ht="18" hidden="false" customHeight="true" outlineLevel="0" collapsed="false">
      <c r="A9" s="3" t="s">
        <v>9</v>
      </c>
      <c r="B9" s="4" t="s">
        <v>10</v>
      </c>
    </row>
    <row r="10" customFormat="false" ht="18" hidden="false" customHeight="true" outlineLevel="0" collapsed="false">
      <c r="A10" s="3" t="s">
        <v>11</v>
      </c>
      <c r="B10" s="4" t="s">
        <v>12</v>
      </c>
    </row>
    <row r="11" customFormat="false" ht="18" hidden="false" customHeight="true" outlineLevel="0" collapsed="false">
      <c r="A11" s="3" t="s">
        <v>13</v>
      </c>
      <c r="B11" s="4" t="s">
        <v>14</v>
      </c>
    </row>
    <row r="12" customFormat="false" ht="18" hidden="false" customHeight="true" outlineLevel="0" collapsed="false">
      <c r="A12" s="3"/>
      <c r="B12" s="4"/>
    </row>
    <row r="13" customFormat="false" ht="18" hidden="false" customHeight="true" outlineLevel="0" collapsed="false">
      <c r="A13" s="2" t="s">
        <v>15</v>
      </c>
      <c r="B13" s="2"/>
    </row>
    <row r="14" customFormat="false" ht="18" hidden="false" customHeight="true" outlineLevel="0" collapsed="false">
      <c r="A14" s="3" t="s">
        <v>16</v>
      </c>
      <c r="B14" s="4" t="s">
        <v>17</v>
      </c>
    </row>
    <row r="15" customFormat="false" ht="18" hidden="false" customHeight="true" outlineLevel="0" collapsed="false">
      <c r="A15" s="3" t="s">
        <v>18</v>
      </c>
      <c r="B15" s="4" t="s">
        <v>19</v>
      </c>
    </row>
    <row r="16" customFormat="false" ht="18" hidden="false" customHeight="true" outlineLevel="0" collapsed="false">
      <c r="A16" s="3" t="s">
        <v>20</v>
      </c>
      <c r="B16" s="4" t="s">
        <v>21</v>
      </c>
    </row>
    <row r="17" customFormat="false" ht="18" hidden="false" customHeight="true" outlineLevel="0" collapsed="false">
      <c r="A17" s="3" t="s">
        <v>22</v>
      </c>
      <c r="B17" s="4" t="s">
        <v>23</v>
      </c>
    </row>
    <row r="18" customFormat="false" ht="18" hidden="false" customHeight="true" outlineLevel="0" collapsed="false">
      <c r="A18" s="3"/>
      <c r="B18" s="4"/>
    </row>
    <row r="19" customFormat="false" ht="18" hidden="false" customHeight="true" outlineLevel="0" collapsed="false">
      <c r="A19" s="2" t="s">
        <v>24</v>
      </c>
      <c r="B19" s="2"/>
    </row>
    <row r="20" customFormat="false" ht="15" hidden="false" customHeight="false" outlineLevel="0" collapsed="false">
      <c r="A20" s="5" t="s">
        <v>25</v>
      </c>
      <c r="B20" s="5" t="s">
        <v>26</v>
      </c>
    </row>
    <row r="21" customFormat="false" ht="18" hidden="false" customHeight="true" outlineLevel="0" collapsed="false">
      <c r="A21" s="6" t="s">
        <v>27</v>
      </c>
      <c r="B21" s="4" t="s">
        <v>28</v>
      </c>
    </row>
    <row r="22" customFormat="false" ht="18" hidden="false" customHeight="true" outlineLevel="0" collapsed="false">
      <c r="A22" s="6" t="s">
        <v>29</v>
      </c>
      <c r="B22" s="4" t="s">
        <v>30</v>
      </c>
    </row>
    <row r="23" customFormat="false" ht="18" hidden="false" customHeight="true" outlineLevel="0" collapsed="false">
      <c r="A23" s="6" t="s">
        <v>31</v>
      </c>
      <c r="B23" s="4" t="s">
        <v>32</v>
      </c>
    </row>
    <row r="24" customFormat="false" ht="18" hidden="false" customHeight="true" outlineLevel="0" collapsed="false">
      <c r="A24" s="6" t="s">
        <v>33</v>
      </c>
      <c r="B24" s="4" t="s">
        <v>34</v>
      </c>
    </row>
    <row r="25" customFormat="false" ht="18" hidden="false" customHeight="true" outlineLevel="0" collapsed="false">
      <c r="A25" s="6" t="s">
        <v>35</v>
      </c>
      <c r="B25" s="4" t="s">
        <v>36</v>
      </c>
    </row>
    <row r="27" customFormat="false" ht="16.15" hidden="false" customHeight="false" outlineLevel="0" collapsed="false">
      <c r="A27" s="2" t="s">
        <v>37</v>
      </c>
      <c r="B27" s="2"/>
    </row>
    <row r="28" customFormat="false" ht="31.5" hidden="false" customHeight="true" outlineLevel="0" collapsed="false">
      <c r="A28" s="7" t="s">
        <v>38</v>
      </c>
      <c r="B28" s="4" t="s">
        <v>39</v>
      </c>
    </row>
    <row r="29" customFormat="false" ht="31.5" hidden="false" customHeight="true" outlineLevel="0" collapsed="false">
      <c r="A29" s="7" t="s">
        <v>40</v>
      </c>
      <c r="B29" s="4" t="s">
        <v>41</v>
      </c>
    </row>
    <row r="30" customFormat="false" ht="31.5" hidden="false" customHeight="true" outlineLevel="0" collapsed="false">
      <c r="A30" s="7" t="s">
        <v>42</v>
      </c>
      <c r="B30" s="4" t="s">
        <v>43</v>
      </c>
    </row>
    <row r="31" customFormat="false" ht="18" hidden="false" customHeight="true" outlineLevel="0" collapsed="false">
      <c r="A31" s="7" t="s">
        <v>44</v>
      </c>
      <c r="B31" s="4" t="s">
        <v>45</v>
      </c>
    </row>
    <row r="32" customFormat="false" ht="18" hidden="false" customHeight="true" outlineLevel="0" collapsed="false">
      <c r="A32" s="7" t="s">
        <v>46</v>
      </c>
      <c r="B32" s="4" t="s">
        <v>47</v>
      </c>
    </row>
    <row r="33" customFormat="false" ht="31.5" hidden="false" customHeight="true" outlineLevel="0" collapsed="false">
      <c r="A33" s="7" t="s">
        <v>48</v>
      </c>
      <c r="B33" s="4" t="s">
        <v>49</v>
      </c>
    </row>
    <row r="35" customFormat="false" ht="79.5" hidden="false" customHeight="true" outlineLevel="0" collapsed="false">
      <c r="A35" s="8" t="s">
        <v>50</v>
      </c>
      <c r="B35" s="8"/>
    </row>
    <row r="36" customFormat="false" ht="27.75" hidden="false" customHeight="true" outlineLevel="0" collapsed="false">
      <c r="A36" s="8" t="s">
        <v>51</v>
      </c>
      <c r="B36" s="8"/>
    </row>
  </sheetData>
  <mergeCells count="8">
    <mergeCell ref="A1:B1"/>
    <mergeCell ref="A3:B3"/>
    <mergeCell ref="A7:B7"/>
    <mergeCell ref="A13:B13"/>
    <mergeCell ref="A19:B19"/>
    <mergeCell ref="A27:B27"/>
    <mergeCell ref="A35:B35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4"/>
  </cols>
  <sheetData>
    <row r="1" customFormat="false" ht="19.7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</row>
    <row r="3" customFormat="false" ht="28.35" hidden="false" customHeight="false" outlineLevel="0" collapsed="false">
      <c r="A3" s="5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</row>
    <row r="4" customFormat="false" ht="15" hidden="false" customHeight="false" outlineLevel="0" collapsed="false">
      <c r="B4" s="9" t="s">
        <v>59</v>
      </c>
      <c r="C4" s="9" t="s">
        <v>60</v>
      </c>
      <c r="D4" s="9" t="s">
        <v>61</v>
      </c>
      <c r="E4" s="9" t="s">
        <v>62</v>
      </c>
      <c r="F4" s="9" t="s">
        <v>63</v>
      </c>
    </row>
    <row r="5" customFormat="false" ht="15" hidden="false" customHeight="false" outlineLevel="0" collapsed="false">
      <c r="A5" s="0" t="s">
        <v>64</v>
      </c>
      <c r="B5" s="10" t="n">
        <v>8969.699</v>
      </c>
      <c r="C5" s="10" t="n">
        <v>1771.548</v>
      </c>
      <c r="D5" s="10" t="n">
        <v>1781.911</v>
      </c>
      <c r="E5" s="10" t="n">
        <v>367.648</v>
      </c>
      <c r="F5" s="11" t="n">
        <v>61.85196</v>
      </c>
    </row>
    <row r="6" customFormat="false" ht="15" hidden="false" customHeight="false" outlineLevel="0" collapsed="false">
      <c r="A6" s="0" t="s">
        <v>65</v>
      </c>
      <c r="B6" s="10" t="n">
        <v>9121.097</v>
      </c>
      <c r="C6" s="10" t="n">
        <v>1808.447</v>
      </c>
      <c r="D6" s="10" t="n">
        <v>1788.538</v>
      </c>
      <c r="E6" s="10" t="n">
        <v>366.204</v>
      </c>
      <c r="F6" s="11" t="n">
        <v>60.58693</v>
      </c>
    </row>
    <row r="7" customFormat="false" ht="15" hidden="false" customHeight="false" outlineLevel="0" collapsed="false">
      <c r="A7" s="0" t="s">
        <v>66</v>
      </c>
      <c r="B7" s="10" t="n">
        <v>9293.991</v>
      </c>
      <c r="C7" s="10" t="n">
        <v>1835.085</v>
      </c>
      <c r="D7" s="10" t="n">
        <v>1814.518</v>
      </c>
      <c r="E7" s="10" t="n">
        <v>360.088</v>
      </c>
      <c r="F7" s="11" t="n">
        <v>60.40696</v>
      </c>
    </row>
    <row r="8" customFormat="false" ht="15" hidden="false" customHeight="false" outlineLevel="0" collapsed="false">
      <c r="A8" s="0" t="s">
        <v>67</v>
      </c>
      <c r="B8" s="10" t="n">
        <v>9411.682</v>
      </c>
      <c r="C8" s="10" t="n">
        <v>1860.002</v>
      </c>
      <c r="D8" s="10" t="n">
        <v>1811.988</v>
      </c>
      <c r="E8" s="10" t="n">
        <v>352.596</v>
      </c>
      <c r="F8" s="11" t="n">
        <v>60.04894</v>
      </c>
    </row>
    <row r="9" customFormat="false" ht="15" hidden="false" customHeight="false" outlineLevel="0" collapsed="false">
      <c r="A9" s="0" t="s">
        <v>68</v>
      </c>
      <c r="B9" s="10" t="n">
        <v>9526.21</v>
      </c>
      <c r="C9" s="10" t="n">
        <v>1885.184</v>
      </c>
      <c r="D9" s="10" t="n">
        <v>1816.961</v>
      </c>
      <c r="E9" s="10" t="n">
        <v>352.141</v>
      </c>
      <c r="F9" s="11" t="n">
        <v>59.19227</v>
      </c>
    </row>
    <row r="10" customFormat="false" ht="15" hidden="false" customHeight="false" outlineLevel="0" collapsed="false">
      <c r="A10" s="0" t="s">
        <v>69</v>
      </c>
      <c r="B10" s="10" t="n">
        <v>9686.626</v>
      </c>
      <c r="C10" s="10" t="n">
        <v>1914.862</v>
      </c>
      <c r="D10" s="10" t="n">
        <v>1843.205</v>
      </c>
      <c r="E10" s="10" t="n">
        <v>351.073</v>
      </c>
      <c r="F10" s="11" t="n">
        <v>58.39258</v>
      </c>
    </row>
    <row r="11" customFormat="false" ht="15" hidden="false" customHeight="false" outlineLevel="0" collapsed="false">
      <c r="A11" s="0" t="s">
        <v>70</v>
      </c>
      <c r="B11" s="10" t="n">
        <v>9900.169</v>
      </c>
      <c r="C11" s="10" t="n">
        <v>1963.756</v>
      </c>
      <c r="D11" s="10" t="n">
        <v>1875.154</v>
      </c>
      <c r="E11" s="10" t="n">
        <v>352.925</v>
      </c>
      <c r="F11" s="11" t="n">
        <v>58.34336</v>
      </c>
    </row>
    <row r="12" customFormat="false" ht="15" hidden="false" customHeight="false" outlineLevel="0" collapsed="false">
      <c r="A12" s="0" t="s">
        <v>71</v>
      </c>
      <c r="B12" s="10" t="n">
        <v>10002.179</v>
      </c>
      <c r="C12" s="10" t="n">
        <v>2041.764</v>
      </c>
      <c r="D12" s="10" t="n">
        <v>1866.308</v>
      </c>
      <c r="E12" s="10" t="n">
        <v>354.822</v>
      </c>
      <c r="F12" s="11" t="n">
        <v>57.72134</v>
      </c>
    </row>
    <row r="13" customFormat="false" ht="15" hidden="false" customHeight="false" outlineLevel="0" collapsed="false">
      <c r="A13" s="0" t="s">
        <v>72</v>
      </c>
      <c r="B13" s="10" t="n">
        <v>10247.72</v>
      </c>
      <c r="C13" s="10" t="n">
        <v>2056.279</v>
      </c>
      <c r="D13" s="10" t="n">
        <v>1908.645</v>
      </c>
      <c r="E13" s="10" t="n">
        <v>354.109</v>
      </c>
      <c r="F13" s="11" t="n">
        <v>55.48491</v>
      </c>
    </row>
    <row r="14" customFormat="false" ht="15" hidden="false" customHeight="false" outlineLevel="0" collapsed="false">
      <c r="A14" s="0" t="s">
        <v>73</v>
      </c>
      <c r="B14" s="10" t="n">
        <v>10318.165</v>
      </c>
      <c r="C14" s="10" t="n">
        <v>2076.268</v>
      </c>
      <c r="D14" s="10" t="n">
        <v>1918.617</v>
      </c>
      <c r="E14" s="10" t="n">
        <v>352.877</v>
      </c>
      <c r="F14" s="11" t="n">
        <v>54.99213</v>
      </c>
    </row>
    <row r="15" customFormat="false" ht="15" hidden="false" customHeight="false" outlineLevel="0" collapsed="false">
      <c r="A15" s="0" t="s">
        <v>74</v>
      </c>
      <c r="B15" s="10" t="n">
        <v>10435.744</v>
      </c>
      <c r="C15" s="10" t="n">
        <v>2096.796</v>
      </c>
      <c r="D15" s="10" t="n">
        <v>1938.796</v>
      </c>
      <c r="E15" s="10" t="n">
        <v>353.105</v>
      </c>
      <c r="F15" s="11" t="n">
        <v>54.2579</v>
      </c>
    </row>
    <row r="16" customFormat="false" ht="15" hidden="false" customHeight="false" outlineLevel="0" collapsed="false">
      <c r="A16" s="0" t="s">
        <v>75</v>
      </c>
      <c r="B16" s="10" t="n">
        <v>10470.231</v>
      </c>
      <c r="C16" s="10" t="n">
        <v>2111.058</v>
      </c>
      <c r="D16" s="10" t="n">
        <v>1982.626</v>
      </c>
      <c r="E16" s="10" t="n">
        <v>345.479</v>
      </c>
      <c r="F16" s="11" t="n">
        <v>55.14434</v>
      </c>
    </row>
    <row r="17" customFormat="false" ht="15" hidden="false" customHeight="false" outlineLevel="0" collapsed="false">
      <c r="A17" s="0" t="s">
        <v>76</v>
      </c>
      <c r="B17" s="10" t="n">
        <v>10599</v>
      </c>
      <c r="C17" s="10" t="n">
        <v>2098.359</v>
      </c>
      <c r="D17" s="10" t="n">
        <v>2003.581</v>
      </c>
      <c r="E17" s="10" t="n">
        <v>334.776</v>
      </c>
      <c r="F17" s="11" t="n">
        <v>54.03165</v>
      </c>
    </row>
    <row r="18" customFormat="false" ht="15" hidden="false" customHeight="false" outlineLevel="0" collapsed="false">
      <c r="A18" s="0" t="s">
        <v>77</v>
      </c>
      <c r="B18" s="10" t="n">
        <v>10598.02</v>
      </c>
      <c r="C18" s="10" t="n">
        <v>1907.679</v>
      </c>
      <c r="D18" s="10" t="n">
        <v>2037.703</v>
      </c>
      <c r="E18" s="10" t="n">
        <v>326.826</v>
      </c>
      <c r="F18" s="11" t="n">
        <v>54.79763</v>
      </c>
    </row>
    <row r="19" customFormat="false" ht="15" hidden="false" customHeight="false" outlineLevel="0" collapsed="false">
      <c r="A19" s="0" t="s">
        <v>78</v>
      </c>
      <c r="B19" s="10" t="n">
        <v>10660.465</v>
      </c>
      <c r="C19" s="10" t="n">
        <v>2012.375</v>
      </c>
      <c r="D19" s="10" t="n">
        <v>2045.404</v>
      </c>
      <c r="E19" s="10" t="n">
        <v>317.821</v>
      </c>
      <c r="F19" s="11" t="n">
        <v>55.75216</v>
      </c>
    </row>
    <row r="20" customFormat="false" ht="15" hidden="false" customHeight="false" outlineLevel="0" collapsed="false">
      <c r="A20" s="0" t="s">
        <v>79</v>
      </c>
      <c r="B20" s="10" t="n">
        <v>10783.5</v>
      </c>
      <c r="C20" s="10" t="n">
        <v>1865.637</v>
      </c>
      <c r="D20" s="10" t="n">
        <v>2091.469</v>
      </c>
      <c r="E20" s="10" t="n">
        <v>304.931</v>
      </c>
      <c r="F20" s="11" t="n">
        <v>55.6965</v>
      </c>
    </row>
    <row r="21" customFormat="false" ht="15" hidden="false" customHeight="false" outlineLevel="0" collapsed="false">
      <c r="A21" s="0" t="s">
        <v>80</v>
      </c>
      <c r="B21" s="10" t="n">
        <v>10887.46</v>
      </c>
      <c r="C21" s="10" t="n">
        <v>1868.032</v>
      </c>
      <c r="D21" s="10" t="n">
        <v>2130.186</v>
      </c>
      <c r="E21" s="10" t="n">
        <v>301.958</v>
      </c>
      <c r="F21" s="11" t="n">
        <v>56.27087</v>
      </c>
    </row>
    <row r="22" customFormat="false" ht="15" hidden="false" customHeight="false" outlineLevel="0" collapsed="false">
      <c r="A22" s="0" t="s">
        <v>81</v>
      </c>
      <c r="B22" s="10" t="n">
        <v>10984.04</v>
      </c>
      <c r="C22" s="10" t="n">
        <v>1869.778</v>
      </c>
      <c r="D22" s="10" t="n">
        <v>2148.447</v>
      </c>
      <c r="E22" s="10" t="n">
        <v>300.19</v>
      </c>
      <c r="F22" s="11" t="n">
        <v>56.7026</v>
      </c>
    </row>
    <row r="23" customFormat="false" ht="15" hidden="false" customHeight="false" outlineLevel="0" collapsed="false">
      <c r="A23" s="0" t="s">
        <v>82</v>
      </c>
      <c r="B23" s="10" t="n">
        <v>11061.433</v>
      </c>
      <c r="C23" s="10" t="n">
        <v>1880.098</v>
      </c>
      <c r="D23" s="10" t="n">
        <v>2184.697</v>
      </c>
      <c r="E23" s="10" t="n">
        <v>298.006</v>
      </c>
      <c r="F23" s="11" t="n">
        <v>57.91028</v>
      </c>
    </row>
    <row r="24" customFormat="false" ht="15" hidden="false" customHeight="false" outlineLevel="0" collapsed="false">
      <c r="A24" s="0" t="s">
        <v>83</v>
      </c>
      <c r="B24" s="10" t="n">
        <v>11174.129</v>
      </c>
      <c r="C24" s="10" t="n">
        <v>1889.816</v>
      </c>
      <c r="D24" s="10" t="n">
        <v>2220.262</v>
      </c>
      <c r="E24" s="10" t="n">
        <v>290.794</v>
      </c>
      <c r="F24" s="11" t="n">
        <v>57.81906</v>
      </c>
    </row>
    <row r="25" customFormat="false" ht="15" hidden="false" customHeight="false" outlineLevel="0" collapsed="false">
      <c r="A25" s="0" t="s">
        <v>84</v>
      </c>
      <c r="B25" s="10" t="n">
        <v>11312.766</v>
      </c>
      <c r="C25" s="10" t="n">
        <v>1912.664</v>
      </c>
      <c r="D25" s="10" t="n">
        <v>2299.919</v>
      </c>
      <c r="E25" s="10" t="n">
        <v>290.322</v>
      </c>
      <c r="F25" s="11" t="n">
        <v>58.96101</v>
      </c>
    </row>
    <row r="26" customFormat="false" ht="15" hidden="false" customHeight="false" outlineLevel="0" collapsed="false">
      <c r="A26" s="0" t="s">
        <v>85</v>
      </c>
      <c r="B26" s="10" t="n">
        <v>11566.669</v>
      </c>
      <c r="C26" s="10" t="n">
        <v>1840.186</v>
      </c>
      <c r="D26" s="10" t="n">
        <v>2309.622</v>
      </c>
      <c r="E26" s="10" t="n">
        <v>291.659</v>
      </c>
      <c r="F26" s="11" t="n">
        <v>58.64541</v>
      </c>
    </row>
    <row r="27" customFormat="false" ht="15" hidden="false" customHeight="false" outlineLevel="0" collapsed="false">
      <c r="A27" s="0" t="s">
        <v>86</v>
      </c>
      <c r="B27" s="10" t="n">
        <v>11772.234</v>
      </c>
      <c r="C27" s="10" t="n">
        <v>1941.796</v>
      </c>
      <c r="D27" s="10" t="n">
        <v>2344.18</v>
      </c>
      <c r="E27" s="10" t="n">
        <v>294.108</v>
      </c>
      <c r="F27" s="11" t="n">
        <v>59.44466</v>
      </c>
    </row>
    <row r="28" customFormat="false" ht="15" hidden="false" customHeight="false" outlineLevel="0" collapsed="false">
      <c r="A28" s="0" t="s">
        <v>87</v>
      </c>
      <c r="B28" s="10" t="n">
        <v>11923.447</v>
      </c>
      <c r="C28" s="10" t="n">
        <v>1952.066</v>
      </c>
      <c r="D28" s="10" t="n">
        <v>2381.04</v>
      </c>
      <c r="E28" s="10" t="n">
        <v>297.882</v>
      </c>
      <c r="F28" s="11" t="n">
        <v>59.8071</v>
      </c>
    </row>
    <row r="29" customFormat="false" ht="15" hidden="false" customHeight="false" outlineLevel="0" collapsed="false">
      <c r="A29" s="0" t="s">
        <v>88</v>
      </c>
      <c r="B29" s="10" t="n">
        <v>12112.815</v>
      </c>
      <c r="C29" s="10" t="n">
        <v>2003.483</v>
      </c>
      <c r="D29" s="10" t="n">
        <v>2400.4</v>
      </c>
      <c r="E29" s="10" t="n">
        <v>299.661</v>
      </c>
      <c r="F29" s="11" t="n">
        <v>60.05487</v>
      </c>
    </row>
    <row r="30" customFormat="false" ht="15" hidden="false" customHeight="false" outlineLevel="0" collapsed="false">
      <c r="A30" s="0" t="s">
        <v>89</v>
      </c>
      <c r="B30" s="10" t="n">
        <v>12305.307</v>
      </c>
      <c r="C30" s="10" t="n">
        <v>2062.813</v>
      </c>
      <c r="D30" s="10" t="n">
        <v>2428.795</v>
      </c>
      <c r="E30" s="10" t="n">
        <v>308.159</v>
      </c>
      <c r="F30" s="11" t="n">
        <v>59.96643</v>
      </c>
    </row>
    <row r="31" customFormat="false" ht="15" hidden="false" customHeight="false" outlineLevel="0" collapsed="false">
      <c r="A31" s="0" t="s">
        <v>90</v>
      </c>
      <c r="B31" s="10" t="n">
        <v>12527.214</v>
      </c>
      <c r="C31" s="10" t="n">
        <v>2093.96</v>
      </c>
      <c r="D31" s="10" t="n">
        <v>2476.05</v>
      </c>
      <c r="E31" s="10" t="n">
        <v>318.386</v>
      </c>
      <c r="F31" s="11" t="n">
        <v>60.63713</v>
      </c>
    </row>
    <row r="32" customFormat="false" ht="15" hidden="false" customHeight="false" outlineLevel="0" collapsed="false">
      <c r="A32" s="0" t="s">
        <v>91</v>
      </c>
      <c r="B32" s="10" t="n">
        <v>12767.286</v>
      </c>
      <c r="C32" s="10" t="n">
        <v>2242.79</v>
      </c>
      <c r="D32" s="10" t="n">
        <v>2548.019</v>
      </c>
      <c r="E32" s="10" t="n">
        <v>329.407</v>
      </c>
      <c r="F32" s="11" t="n">
        <v>60.91302</v>
      </c>
    </row>
    <row r="33" customFormat="false" ht="15" hidden="false" customHeight="false" outlineLevel="0" collapsed="false">
      <c r="A33" s="0" t="s">
        <v>92</v>
      </c>
      <c r="B33" s="10" t="n">
        <v>12922.656</v>
      </c>
      <c r="C33" s="10" t="n">
        <v>2272.008</v>
      </c>
      <c r="D33" s="10" t="n">
        <v>2578.686</v>
      </c>
      <c r="E33" s="10" t="n">
        <v>343.582</v>
      </c>
      <c r="F33" s="11" t="n">
        <v>60.64153</v>
      </c>
    </row>
    <row r="34" customFormat="false" ht="15" hidden="false" customHeight="false" outlineLevel="0" collapsed="false">
      <c r="A34" s="0" t="s">
        <v>93</v>
      </c>
      <c r="B34" s="10" t="n">
        <v>13142.642</v>
      </c>
      <c r="C34" s="10" t="n">
        <v>2316.739</v>
      </c>
      <c r="D34" s="10" t="n">
        <v>2617.33</v>
      </c>
      <c r="E34" s="10" t="n">
        <v>349.228</v>
      </c>
      <c r="F34" s="11" t="n">
        <v>60.35856</v>
      </c>
    </row>
    <row r="35" customFormat="false" ht="15" hidden="false" customHeight="false" outlineLevel="0" collapsed="false">
      <c r="A35" s="0" t="s">
        <v>94</v>
      </c>
      <c r="B35" s="10" t="n">
        <v>13324.204</v>
      </c>
      <c r="C35" s="10" t="n">
        <v>2387.286</v>
      </c>
      <c r="D35" s="10" t="n">
        <v>2649.819</v>
      </c>
      <c r="E35" s="10" t="n">
        <v>355.282</v>
      </c>
      <c r="F35" s="11" t="n">
        <v>61.32008</v>
      </c>
    </row>
    <row r="36" customFormat="false" ht="15" hidden="false" customHeight="false" outlineLevel="0" collapsed="false">
      <c r="A36" s="0" t="s">
        <v>95</v>
      </c>
      <c r="B36" s="10" t="n">
        <v>13599.16</v>
      </c>
      <c r="C36" s="10" t="n">
        <v>2482.895</v>
      </c>
      <c r="D36" s="10" t="n">
        <v>2728.184</v>
      </c>
      <c r="E36" s="10" t="n">
        <v>358.209</v>
      </c>
      <c r="F36" s="11" t="n">
        <v>61.55642</v>
      </c>
    </row>
    <row r="37" customFormat="false" ht="15" hidden="false" customHeight="false" outlineLevel="0" collapsed="false">
      <c r="A37" s="0" t="s">
        <v>96</v>
      </c>
      <c r="B37" s="10" t="n">
        <v>13753.424</v>
      </c>
      <c r="C37" s="10" t="n">
        <v>2518.505</v>
      </c>
      <c r="D37" s="10" t="n">
        <v>2749.085</v>
      </c>
      <c r="E37" s="10" t="n">
        <v>367.415</v>
      </c>
      <c r="F37" s="11" t="n">
        <v>61.22142</v>
      </c>
    </row>
    <row r="38" customFormat="false" ht="15" hidden="false" customHeight="false" outlineLevel="0" collapsed="false">
      <c r="A38" s="0" t="s">
        <v>97</v>
      </c>
      <c r="B38" s="10" t="n">
        <v>13870.188</v>
      </c>
      <c r="C38" s="10" t="n">
        <v>2562.861</v>
      </c>
      <c r="D38" s="10" t="n">
        <v>2775.712</v>
      </c>
      <c r="E38" s="10" t="n">
        <v>376.299</v>
      </c>
      <c r="F38" s="11" t="n">
        <v>61.3328</v>
      </c>
    </row>
    <row r="39" customFormat="false" ht="15" hidden="false" customHeight="false" outlineLevel="0" collapsed="false">
      <c r="A39" s="0" t="s">
        <v>98</v>
      </c>
      <c r="B39" s="10" t="n">
        <v>14039.56</v>
      </c>
      <c r="C39" s="10" t="n">
        <v>2590.85</v>
      </c>
      <c r="D39" s="10" t="n">
        <v>2789.906</v>
      </c>
      <c r="E39" s="10" t="n">
        <v>386.925</v>
      </c>
      <c r="F39" s="11" t="n">
        <v>61.82689</v>
      </c>
    </row>
    <row r="40" customFormat="false" ht="15" hidden="false" customHeight="false" outlineLevel="0" collapsed="false">
      <c r="A40" s="0" t="s">
        <v>99</v>
      </c>
      <c r="B40" s="10" t="n">
        <v>14215.651</v>
      </c>
      <c r="C40" s="10" t="n">
        <v>2659.486</v>
      </c>
      <c r="D40" s="10" t="n">
        <v>2869.326</v>
      </c>
      <c r="E40" s="10" t="n">
        <v>396.009</v>
      </c>
      <c r="F40" s="11" t="n">
        <v>62.25297</v>
      </c>
    </row>
    <row r="41" customFormat="false" ht="15" hidden="false" customHeight="false" outlineLevel="0" collapsed="false">
      <c r="A41" s="0" t="s">
        <v>100</v>
      </c>
      <c r="B41" s="10" t="n">
        <v>14402.082</v>
      </c>
      <c r="C41" s="10" t="n">
        <v>2674.206</v>
      </c>
      <c r="D41" s="10" t="n">
        <v>2905.202</v>
      </c>
      <c r="E41" s="10" t="n">
        <v>407.914</v>
      </c>
      <c r="F41" s="11" t="n">
        <v>61.57219</v>
      </c>
    </row>
    <row r="42" customFormat="false" ht="15" hidden="false" customHeight="false" outlineLevel="0" collapsed="false">
      <c r="A42" s="0" t="s">
        <v>101</v>
      </c>
      <c r="B42" s="10" t="n">
        <v>14564.117</v>
      </c>
      <c r="C42" s="10" t="n">
        <v>2666.732</v>
      </c>
      <c r="D42" s="10" t="n">
        <v>2945.721</v>
      </c>
      <c r="E42" s="10" t="n">
        <v>414.164</v>
      </c>
      <c r="F42" s="11" t="n">
        <v>61.84826</v>
      </c>
    </row>
    <row r="43" customFormat="false" ht="15" hidden="false" customHeight="false" outlineLevel="0" collapsed="false">
      <c r="A43" s="0" t="s">
        <v>102</v>
      </c>
      <c r="B43" s="10" t="n">
        <v>14715.058</v>
      </c>
      <c r="C43" s="10" t="n">
        <v>2672.884</v>
      </c>
      <c r="D43" s="10" t="n">
        <v>2991.765</v>
      </c>
      <c r="E43" s="10" t="n">
        <v>413.825</v>
      </c>
      <c r="F43" s="11" t="n">
        <v>62.71924</v>
      </c>
    </row>
    <row r="44" customFormat="false" ht="15" hidden="false" customHeight="false" outlineLevel="0" collapsed="false">
      <c r="A44" s="0" t="s">
        <v>103</v>
      </c>
      <c r="B44" s="10" t="n">
        <v>14706.538</v>
      </c>
      <c r="C44" s="10" t="n">
        <v>2638.949</v>
      </c>
      <c r="D44" s="10" t="n">
        <v>3043.522</v>
      </c>
      <c r="E44" s="10" t="n">
        <v>403.473</v>
      </c>
      <c r="F44" s="11" t="n">
        <v>64.17278</v>
      </c>
    </row>
    <row r="45" customFormat="false" ht="15" hidden="false" customHeight="false" outlineLevel="0" collapsed="false">
      <c r="A45" s="0" t="s">
        <v>104</v>
      </c>
      <c r="B45" s="10" t="n">
        <v>14865.701</v>
      </c>
      <c r="C45" s="10" t="n">
        <v>2621.006</v>
      </c>
      <c r="D45" s="10" t="n">
        <v>3397.452</v>
      </c>
      <c r="E45" s="10" t="n">
        <v>388.351</v>
      </c>
      <c r="F45" s="11" t="n">
        <v>63.85172</v>
      </c>
    </row>
    <row r="46" customFormat="false" ht="15" hidden="false" customHeight="false" outlineLevel="0" collapsed="false">
      <c r="A46" s="0" t="s">
        <v>105</v>
      </c>
      <c r="B46" s="10" t="n">
        <v>14898.999</v>
      </c>
      <c r="C46" s="10" t="n">
        <v>2574.57</v>
      </c>
      <c r="D46" s="10" t="n">
        <v>3194.11</v>
      </c>
      <c r="E46" s="10" t="n">
        <v>382.152</v>
      </c>
      <c r="F46" s="11" t="n">
        <v>67.28455</v>
      </c>
    </row>
    <row r="47" customFormat="false" ht="15" hidden="false" customHeight="false" outlineLevel="0" collapsed="false">
      <c r="A47" s="0" t="s">
        <v>106</v>
      </c>
      <c r="B47" s="10" t="n">
        <v>14608.209</v>
      </c>
      <c r="C47" s="10" t="n">
        <v>2493.677</v>
      </c>
      <c r="D47" s="10" t="n">
        <v>3192.866</v>
      </c>
      <c r="E47" s="10" t="n">
        <v>379.614</v>
      </c>
      <c r="F47" s="11" t="n">
        <v>73.24515</v>
      </c>
    </row>
    <row r="48" customFormat="false" ht="15" hidden="false" customHeight="false" outlineLevel="0" collapsed="false">
      <c r="A48" s="0" t="s">
        <v>107</v>
      </c>
      <c r="B48" s="10" t="n">
        <v>14430.902</v>
      </c>
      <c r="C48" s="10" t="n">
        <v>2222.444</v>
      </c>
      <c r="D48" s="10" t="n">
        <v>3322.767</v>
      </c>
      <c r="E48" s="10" t="n">
        <v>361.869</v>
      </c>
      <c r="F48" s="11" t="n">
        <v>77.10496</v>
      </c>
    </row>
    <row r="49" customFormat="false" ht="15" hidden="false" customHeight="false" outlineLevel="0" collapsed="false">
      <c r="A49" s="0" t="s">
        <v>108</v>
      </c>
      <c r="B49" s="10" t="n">
        <v>14381.236</v>
      </c>
      <c r="C49" s="10" t="n">
        <v>2223.824</v>
      </c>
      <c r="D49" s="10" t="n">
        <v>3524.671</v>
      </c>
      <c r="E49" s="10" t="n">
        <v>352.134</v>
      </c>
      <c r="F49" s="11" t="n">
        <v>80.28013</v>
      </c>
    </row>
    <row r="50" customFormat="false" ht="15" hidden="false" customHeight="false" outlineLevel="0" collapsed="false">
      <c r="A50" s="0" t="s">
        <v>109</v>
      </c>
      <c r="B50" s="10" t="n">
        <v>14448.882</v>
      </c>
      <c r="C50" s="10" t="n">
        <v>2225.501</v>
      </c>
      <c r="D50" s="10" t="n">
        <v>3532.903</v>
      </c>
      <c r="E50" s="10" t="n">
        <v>350.317</v>
      </c>
      <c r="F50" s="11" t="n">
        <v>82.42733</v>
      </c>
    </row>
    <row r="51" customFormat="false" ht="15" hidden="false" customHeight="false" outlineLevel="0" collapsed="false">
      <c r="A51" s="0" t="s">
        <v>110</v>
      </c>
      <c r="B51" s="10" t="n">
        <v>14651.249</v>
      </c>
      <c r="C51" s="10" t="n">
        <v>2296.492</v>
      </c>
      <c r="D51" s="10" t="n">
        <v>3560.619</v>
      </c>
      <c r="E51" s="10" t="n">
        <v>353.811</v>
      </c>
      <c r="F51" s="11" t="n">
        <v>84.02935</v>
      </c>
    </row>
    <row r="52" customFormat="false" ht="15" hidden="false" customHeight="false" outlineLevel="0" collapsed="false">
      <c r="A52" s="0" t="s">
        <v>111</v>
      </c>
      <c r="B52" s="10" t="n">
        <v>14764.61</v>
      </c>
      <c r="C52" s="10" t="n">
        <v>2366.132</v>
      </c>
      <c r="D52" s="10" t="n">
        <v>3710.548</v>
      </c>
      <c r="E52" s="10" t="n">
        <v>360.258</v>
      </c>
      <c r="F52" s="11" t="n">
        <v>86.51175</v>
      </c>
    </row>
    <row r="53" customFormat="false" ht="15" hidden="false" customHeight="false" outlineLevel="0" collapsed="false">
      <c r="A53" s="0" t="s">
        <v>112</v>
      </c>
      <c r="B53" s="10" t="n">
        <v>14980.193</v>
      </c>
      <c r="C53" s="10" t="n">
        <v>2420.673</v>
      </c>
      <c r="D53" s="10" t="n">
        <v>3745.711</v>
      </c>
      <c r="E53" s="10" t="n">
        <v>376.93</v>
      </c>
      <c r="F53" s="11" t="n">
        <v>88.12832</v>
      </c>
    </row>
    <row r="54" customFormat="false" ht="15" hidden="false" customHeight="false" outlineLevel="0" collapsed="false">
      <c r="A54" s="0" t="s">
        <v>113</v>
      </c>
      <c r="B54" s="10" t="n">
        <v>15141.607</v>
      </c>
      <c r="C54" s="10" t="n">
        <v>2483.29</v>
      </c>
      <c r="D54" s="10" t="n">
        <v>3792.438</v>
      </c>
      <c r="E54" s="10" t="n">
        <v>389.247</v>
      </c>
      <c r="F54" s="11" t="n">
        <v>89.56528</v>
      </c>
    </row>
    <row r="55" customFormat="false" ht="15" hidden="false" customHeight="false" outlineLevel="0" collapsed="false">
      <c r="A55" s="0" t="s">
        <v>114</v>
      </c>
      <c r="B55" s="10" t="n">
        <v>15309.474</v>
      </c>
      <c r="C55" s="10" t="n">
        <v>2514.962</v>
      </c>
      <c r="D55" s="10" t="n">
        <v>3809.804</v>
      </c>
      <c r="E55" s="10" t="n">
        <v>399.514</v>
      </c>
      <c r="F55" s="11" t="n">
        <v>91.61134</v>
      </c>
    </row>
    <row r="56" customFormat="false" ht="15" hidden="false" customHeight="false" outlineLevel="0" collapsed="false">
      <c r="A56" s="0" t="s">
        <v>115</v>
      </c>
      <c r="B56" s="10" t="n">
        <v>15351.448</v>
      </c>
      <c r="C56" s="10" t="n">
        <v>2566.855</v>
      </c>
      <c r="D56" s="10" t="n">
        <v>3811.263</v>
      </c>
      <c r="E56" s="10" t="n">
        <v>410.805</v>
      </c>
      <c r="F56" s="11" t="n">
        <v>92.95614</v>
      </c>
    </row>
    <row r="57" customFormat="false" ht="15" hidden="false" customHeight="false" outlineLevel="0" collapsed="false">
      <c r="A57" s="0" t="s">
        <v>116</v>
      </c>
      <c r="B57" s="10" t="n">
        <v>15557.539</v>
      </c>
      <c r="C57" s="10" t="n">
        <v>2574.972</v>
      </c>
      <c r="D57" s="10" t="n">
        <v>3849.377</v>
      </c>
      <c r="E57" s="10" t="n">
        <v>424.987</v>
      </c>
      <c r="F57" s="11" t="n">
        <v>92.1938</v>
      </c>
    </row>
    <row r="58" customFormat="false" ht="15" hidden="false" customHeight="false" outlineLevel="0" collapsed="false">
      <c r="A58" s="0" t="s">
        <v>117</v>
      </c>
      <c r="B58" s="10" t="n">
        <v>15647.68</v>
      </c>
      <c r="C58" s="10" t="n">
        <v>2565.373</v>
      </c>
      <c r="D58" s="10" t="n">
        <v>3783.833</v>
      </c>
      <c r="E58" s="10" t="n">
        <v>432.625</v>
      </c>
      <c r="F58" s="11" t="n">
        <v>94.52098</v>
      </c>
    </row>
    <row r="59" customFormat="false" ht="15" hidden="false" customHeight="false" outlineLevel="0" collapsed="false">
      <c r="A59" s="0" t="s">
        <v>118</v>
      </c>
      <c r="B59" s="10" t="n">
        <v>15842.259</v>
      </c>
      <c r="C59" s="10" t="n">
        <v>2587.239</v>
      </c>
      <c r="D59" s="10" t="n">
        <v>3786.528</v>
      </c>
      <c r="E59" s="10" t="n">
        <v>433.35</v>
      </c>
      <c r="F59" s="11" t="n">
        <v>96.09072</v>
      </c>
    </row>
    <row r="60" customFormat="false" ht="15" hidden="false" customHeight="false" outlineLevel="0" collapsed="false">
      <c r="A60" s="0" t="s">
        <v>119</v>
      </c>
      <c r="B60" s="10" t="n">
        <v>16068.805</v>
      </c>
      <c r="C60" s="10" t="n">
        <v>2663.949</v>
      </c>
      <c r="D60" s="10" t="n">
        <v>3774.344</v>
      </c>
      <c r="E60" s="10" t="n">
        <v>428.343</v>
      </c>
      <c r="F60" s="11" t="n">
        <v>97.12308</v>
      </c>
    </row>
    <row r="61" customFormat="false" ht="15" hidden="false" customHeight="false" outlineLevel="0" collapsed="false">
      <c r="A61" s="0" t="s">
        <v>120</v>
      </c>
      <c r="B61" s="10" t="n">
        <v>16207.115</v>
      </c>
      <c r="C61" s="10" t="n">
        <v>2679.747</v>
      </c>
      <c r="D61" s="10" t="n">
        <v>3772.867</v>
      </c>
      <c r="E61" s="10" t="n">
        <v>424.345</v>
      </c>
      <c r="F61" s="11" t="n">
        <v>97.82763</v>
      </c>
    </row>
    <row r="62" customFormat="false" ht="15" hidden="false" customHeight="false" outlineLevel="0" collapsed="false">
      <c r="A62" s="0" t="s">
        <v>121</v>
      </c>
      <c r="B62" s="10" t="n">
        <v>16319.541</v>
      </c>
      <c r="C62" s="10" t="n">
        <v>2690.555</v>
      </c>
      <c r="D62" s="10" t="n">
        <v>3777.299</v>
      </c>
      <c r="E62" s="10" t="n">
        <v>420.974</v>
      </c>
      <c r="F62" s="11" t="n">
        <v>98.44787</v>
      </c>
    </row>
    <row r="63" customFormat="false" ht="15" hidden="false" customHeight="false" outlineLevel="0" collapsed="false">
      <c r="A63" s="0" t="s">
        <v>122</v>
      </c>
      <c r="B63" s="10" t="n">
        <v>16420.419</v>
      </c>
      <c r="C63" s="10" t="n">
        <v>2769.018</v>
      </c>
      <c r="D63" s="10" t="n">
        <v>3769.503</v>
      </c>
      <c r="E63" s="10" t="n">
        <v>416.834</v>
      </c>
      <c r="F63" s="11" t="n">
        <v>100.07497</v>
      </c>
    </row>
    <row r="64" customFormat="false" ht="15" hidden="false" customHeight="false" outlineLevel="0" collapsed="false">
      <c r="A64" s="0" t="s">
        <v>123</v>
      </c>
      <c r="B64" s="10" t="n">
        <v>16648.189</v>
      </c>
      <c r="C64" s="10" t="n">
        <v>2984.538</v>
      </c>
      <c r="D64" s="10" t="n">
        <v>3758.798</v>
      </c>
      <c r="E64" s="10" t="n">
        <v>411.052</v>
      </c>
      <c r="F64" s="11" t="n">
        <v>100.73997</v>
      </c>
    </row>
    <row r="65" customFormat="false" ht="15" hidden="false" customHeight="false" outlineLevel="0" collapsed="false">
      <c r="A65" s="0" t="s">
        <v>124</v>
      </c>
      <c r="B65" s="10" t="n">
        <v>16728.687</v>
      </c>
      <c r="C65" s="10" t="n">
        <v>3244.746</v>
      </c>
      <c r="D65" s="10" t="n">
        <v>3776.035</v>
      </c>
      <c r="E65" s="10" t="n">
        <v>412.508</v>
      </c>
      <c r="F65" s="11" t="n">
        <v>100.05758</v>
      </c>
    </row>
    <row r="66" customFormat="false" ht="15" hidden="false" customHeight="false" outlineLevel="0" collapsed="false">
      <c r="A66" s="0" t="s">
        <v>125</v>
      </c>
      <c r="B66" s="10" t="n">
        <v>16953.838</v>
      </c>
      <c r="C66" s="10" t="n">
        <v>3070.329</v>
      </c>
      <c r="D66" s="10" t="n">
        <v>3773.724</v>
      </c>
      <c r="E66" s="10" t="n">
        <v>416.742</v>
      </c>
      <c r="F66" s="11" t="n">
        <v>98.72797</v>
      </c>
    </row>
    <row r="67" customFormat="false" ht="15" hidden="false" customHeight="false" outlineLevel="0" collapsed="false">
      <c r="A67" s="0" t="s">
        <v>126</v>
      </c>
      <c r="B67" s="10" t="n">
        <v>17192.019</v>
      </c>
      <c r="C67" s="10" t="n">
        <v>3245.665</v>
      </c>
      <c r="D67" s="10" t="n">
        <v>3772.463</v>
      </c>
      <c r="E67" s="10" t="n">
        <v>425.001</v>
      </c>
      <c r="F67" s="11" t="n">
        <v>99.79118</v>
      </c>
    </row>
    <row r="68" customFormat="false" ht="15" hidden="false" customHeight="false" outlineLevel="0" collapsed="false">
      <c r="A68" s="0" t="s">
        <v>127</v>
      </c>
      <c r="B68" s="10" t="n">
        <v>17197.738</v>
      </c>
      <c r="C68" s="10" t="n">
        <v>3262.838</v>
      </c>
      <c r="D68" s="10" t="n">
        <v>3819.402</v>
      </c>
      <c r="E68" s="10" t="n">
        <v>431.952</v>
      </c>
      <c r="F68" s="11" t="n">
        <v>102.34617</v>
      </c>
    </row>
    <row r="69" customFormat="false" ht="15" hidden="false" customHeight="false" outlineLevel="0" collapsed="false">
      <c r="A69" s="0" t="s">
        <v>128</v>
      </c>
      <c r="B69" s="10" t="n">
        <v>17518.508</v>
      </c>
      <c r="C69" s="10" t="n">
        <v>3295.831</v>
      </c>
      <c r="D69" s="10" t="n">
        <v>3876.072</v>
      </c>
      <c r="E69" s="10" t="n">
        <v>440.027</v>
      </c>
      <c r="F69" s="11" t="n">
        <v>100.6513</v>
      </c>
    </row>
    <row r="70" customFormat="false" ht="15" hidden="false" customHeight="false" outlineLevel="0" collapsed="false">
      <c r="A70" s="0" t="s">
        <v>129</v>
      </c>
      <c r="B70" s="10" t="n">
        <v>17804.228</v>
      </c>
      <c r="C70" s="10" t="n">
        <v>3303.698</v>
      </c>
      <c r="D70" s="10" t="n">
        <v>3931.623</v>
      </c>
      <c r="E70" s="10" t="n">
        <v>442.107</v>
      </c>
      <c r="F70" s="11" t="n">
        <v>100.11145</v>
      </c>
    </row>
    <row r="71" customFormat="false" ht="15" hidden="false" customHeight="false" outlineLevel="0" collapsed="false">
      <c r="A71" s="0" t="s">
        <v>130</v>
      </c>
      <c r="B71" s="10" t="n">
        <v>17912.079</v>
      </c>
      <c r="C71" s="10" t="n">
        <v>3315.298</v>
      </c>
      <c r="D71" s="10" t="n">
        <v>3926.651</v>
      </c>
      <c r="E71" s="10" t="n">
        <v>442.283</v>
      </c>
      <c r="F71" s="11" t="n">
        <v>101.2805</v>
      </c>
    </row>
    <row r="72" customFormat="false" ht="15" hidden="false" customHeight="false" outlineLevel="0" collapsed="false">
      <c r="A72" s="0" t="s">
        <v>131</v>
      </c>
      <c r="B72" s="10" t="n">
        <v>18063.529</v>
      </c>
      <c r="C72" s="10" t="n">
        <v>3391.529</v>
      </c>
      <c r="D72" s="10" t="n">
        <v>3970.21</v>
      </c>
      <c r="E72" s="10" t="n">
        <v>428.689</v>
      </c>
      <c r="F72" s="11" t="n">
        <v>100.49009</v>
      </c>
    </row>
    <row r="73" customFormat="false" ht="15" hidden="false" customHeight="false" outlineLevel="0" collapsed="false">
      <c r="A73" s="0" t="s">
        <v>132</v>
      </c>
      <c r="B73" s="10" t="n">
        <v>18279.784</v>
      </c>
      <c r="C73" s="10" t="n">
        <v>3445.401</v>
      </c>
      <c r="D73" s="10" t="n">
        <v>3990.778</v>
      </c>
      <c r="E73" s="10" t="n">
        <v>425.877</v>
      </c>
      <c r="F73" s="11" t="n">
        <v>99.30094</v>
      </c>
    </row>
    <row r="74" customFormat="false" ht="15" hidden="false" customHeight="false" outlineLevel="0" collapsed="false">
      <c r="A74" s="0" t="s">
        <v>133</v>
      </c>
      <c r="B74" s="10" t="n">
        <v>18401.626</v>
      </c>
      <c r="C74" s="10" t="n">
        <v>3446.663</v>
      </c>
      <c r="D74" s="10" t="n">
        <v>4011.91</v>
      </c>
      <c r="E74" s="10" t="n">
        <v>427.881</v>
      </c>
      <c r="F74" s="11" t="n">
        <v>98.63595</v>
      </c>
    </row>
    <row r="75" customFormat="false" ht="15" hidden="false" customHeight="false" outlineLevel="0" collapsed="false">
      <c r="A75" s="0" t="s">
        <v>134</v>
      </c>
      <c r="B75" s="10" t="n">
        <v>18435.137</v>
      </c>
      <c r="C75" s="10" t="n">
        <v>3509.95</v>
      </c>
      <c r="D75" s="10" t="n">
        <v>4050.403</v>
      </c>
      <c r="E75" s="10" t="n">
        <v>434.682</v>
      </c>
      <c r="F75" s="11" t="n">
        <v>102.64192</v>
      </c>
    </row>
    <row r="76" customFormat="false" ht="15" hidden="false" customHeight="false" outlineLevel="0" collapsed="false">
      <c r="A76" s="0" t="s">
        <v>135</v>
      </c>
      <c r="B76" s="10" t="n">
        <v>18525.933</v>
      </c>
      <c r="C76" s="10" t="n">
        <v>3445.531</v>
      </c>
      <c r="D76" s="10" t="n">
        <v>4084.292</v>
      </c>
      <c r="E76" s="10" t="n">
        <v>446.225</v>
      </c>
      <c r="F76" s="11" t="n">
        <v>103.98904</v>
      </c>
    </row>
    <row r="77" customFormat="false" ht="15" hidden="false" customHeight="false" outlineLevel="0" collapsed="false">
      <c r="A77" s="0" t="s">
        <v>136</v>
      </c>
      <c r="B77" s="10" t="n">
        <v>18711.702</v>
      </c>
      <c r="C77" s="10" t="n">
        <v>3447.085</v>
      </c>
      <c r="D77" s="10" t="n">
        <v>4101.647</v>
      </c>
      <c r="E77" s="10" t="n">
        <v>453.291</v>
      </c>
      <c r="F77" s="11" t="n">
        <v>103.58005</v>
      </c>
    </row>
    <row r="78" customFormat="false" ht="15" hidden="false" customHeight="false" outlineLevel="0" collapsed="false">
      <c r="A78" s="0" t="s">
        <v>137</v>
      </c>
      <c r="B78" s="10" t="n">
        <v>18892.639</v>
      </c>
      <c r="C78" s="10" t="n">
        <v>3468.731</v>
      </c>
      <c r="D78" s="10" t="n">
        <v>4150.5</v>
      </c>
      <c r="E78" s="10" t="n">
        <v>457.514</v>
      </c>
      <c r="F78" s="11" t="n">
        <v>103.60355</v>
      </c>
    </row>
    <row r="79" customFormat="false" ht="15" hidden="false" customHeight="false" outlineLevel="0" collapsed="false">
      <c r="A79" s="0" t="s">
        <v>138</v>
      </c>
      <c r="B79" s="10" t="n">
        <v>19089.379</v>
      </c>
      <c r="C79" s="10" t="n">
        <v>3481.343</v>
      </c>
      <c r="D79" s="10" t="n">
        <v>4175.46</v>
      </c>
      <c r="E79" s="10" t="n">
        <v>460.184</v>
      </c>
      <c r="F79" s="11" t="n">
        <v>104.64891</v>
      </c>
    </row>
    <row r="80" customFormat="false" ht="15" hidden="false" customHeight="false" outlineLevel="0" collapsed="false">
      <c r="A80" s="0" t="s">
        <v>139</v>
      </c>
      <c r="B80" s="10" t="n">
        <v>19280.084</v>
      </c>
      <c r="C80" s="10" t="n">
        <v>3482.184</v>
      </c>
      <c r="D80" s="10" t="n">
        <v>4192.262</v>
      </c>
      <c r="E80" s="10" t="n">
        <v>460.669</v>
      </c>
      <c r="F80" s="11" t="n">
        <v>102.93741</v>
      </c>
    </row>
    <row r="81" customFormat="false" ht="15" hidden="false" customHeight="false" outlineLevel="0" collapsed="false">
      <c r="A81" s="0" t="s">
        <v>140</v>
      </c>
      <c r="B81" s="10" t="n">
        <v>19438.643</v>
      </c>
      <c r="C81" s="10" t="n">
        <v>3467.749</v>
      </c>
      <c r="D81" s="10" t="n">
        <v>4195.549</v>
      </c>
      <c r="E81" s="10" t="n">
        <v>471.214</v>
      </c>
      <c r="F81" s="11" t="n">
        <v>102.08817</v>
      </c>
    </row>
    <row r="82" customFormat="false" ht="15" hidden="false" customHeight="false" outlineLevel="0" collapsed="false">
      <c r="A82" s="0" t="s">
        <v>141</v>
      </c>
      <c r="B82" s="10" t="n">
        <v>19692.595</v>
      </c>
      <c r="C82" s="10" t="n">
        <v>3512.179</v>
      </c>
      <c r="D82" s="10" t="n">
        <v>4253.985</v>
      </c>
      <c r="E82" s="10" t="n">
        <v>481.457</v>
      </c>
      <c r="F82" s="11" t="n">
        <v>102.80463</v>
      </c>
    </row>
    <row r="83" customFormat="false" ht="15" hidden="false" customHeight="false" outlineLevel="0" collapsed="false">
      <c r="A83" s="0" t="s">
        <v>142</v>
      </c>
      <c r="B83" s="10" t="n">
        <v>20037.088</v>
      </c>
      <c r="C83" s="10" t="n">
        <v>3552.878</v>
      </c>
      <c r="D83" s="10" t="n">
        <v>4320.383</v>
      </c>
      <c r="E83" s="10" t="n">
        <v>493.441</v>
      </c>
      <c r="F83" s="11" t="n">
        <v>102.27408</v>
      </c>
    </row>
    <row r="84" customFormat="false" ht="15" hidden="false" customHeight="false" outlineLevel="0" collapsed="false">
      <c r="A84" s="0" t="s">
        <v>143</v>
      </c>
      <c r="B84" s="10" t="n">
        <v>20328.553</v>
      </c>
      <c r="C84" s="10" t="n">
        <v>3514.225</v>
      </c>
      <c r="D84" s="10" t="n">
        <v>4398.501</v>
      </c>
      <c r="E84" s="10" t="n">
        <v>507.619</v>
      </c>
      <c r="F84" s="11" t="n">
        <v>103.74395</v>
      </c>
    </row>
    <row r="85" customFormat="false" ht="15" hidden="false" customHeight="false" outlineLevel="0" collapsed="false">
      <c r="A85" s="0" t="s">
        <v>144</v>
      </c>
      <c r="B85" s="10" t="n">
        <v>20580.912</v>
      </c>
      <c r="C85" s="10" t="n">
        <v>3552.722</v>
      </c>
      <c r="D85" s="10" t="n">
        <v>4453.783</v>
      </c>
      <c r="E85" s="10" t="n">
        <v>531.778</v>
      </c>
      <c r="F85" s="11" t="n">
        <v>102.98411</v>
      </c>
    </row>
    <row r="86" customFormat="false" ht="15" hidden="false" customHeight="false" outlineLevel="0" collapsed="false">
      <c r="A86" s="0" t="s">
        <v>145</v>
      </c>
      <c r="B86" s="10" t="n">
        <v>20798.73</v>
      </c>
      <c r="C86" s="10" t="n">
        <v>3632.415</v>
      </c>
      <c r="D86" s="10" t="n">
        <v>4512.225</v>
      </c>
      <c r="E86" s="10" t="n">
        <v>551.891</v>
      </c>
      <c r="F86" s="11" t="n">
        <v>103.4489</v>
      </c>
    </row>
    <row r="87" customFormat="false" ht="15" hidden="false" customHeight="false" outlineLevel="0" collapsed="false">
      <c r="A87" s="0" t="s">
        <v>146</v>
      </c>
      <c r="B87" s="10" t="n">
        <v>20917.867</v>
      </c>
      <c r="C87" s="10" t="n">
        <v>3633.016</v>
      </c>
      <c r="D87" s="10" t="n">
        <v>4593.407</v>
      </c>
      <c r="E87" s="10" t="n">
        <v>571.229</v>
      </c>
      <c r="F87" s="11" t="n">
        <v>105.04941</v>
      </c>
    </row>
    <row r="88" customFormat="false" ht="15" hidden="false" customHeight="false" outlineLevel="0" collapsed="false">
      <c r="A88" s="0" t="s">
        <v>147</v>
      </c>
      <c r="B88" s="10" t="n">
        <v>21111.6</v>
      </c>
      <c r="C88" s="10" t="n">
        <v>3652.348</v>
      </c>
      <c r="D88" s="10" t="n">
        <v>4687.997</v>
      </c>
      <c r="E88" s="10" t="n">
        <v>579.714</v>
      </c>
      <c r="F88" s="11" t="n">
        <v>104.34017</v>
      </c>
    </row>
    <row r="89" customFormat="false" ht="15" hidden="false" customHeight="false" outlineLevel="0" collapsed="false">
      <c r="A89" s="0" t="s">
        <v>148</v>
      </c>
      <c r="B89" s="10" t="n">
        <v>21397.938</v>
      </c>
      <c r="C89" s="10" t="n">
        <v>3679.518</v>
      </c>
      <c r="D89" s="10" t="n">
        <v>4734.95</v>
      </c>
      <c r="E89" s="10" t="n">
        <v>586.409</v>
      </c>
      <c r="F89" s="11" t="n">
        <v>102.92245</v>
      </c>
    </row>
    <row r="90" customFormat="false" ht="15" hidden="false" customHeight="false" outlineLevel="0" collapsed="false">
      <c r="A90" s="0" t="s">
        <v>149</v>
      </c>
      <c r="B90" s="10" t="n">
        <v>21717.171</v>
      </c>
      <c r="C90" s="10" t="n">
        <v>3708.594</v>
      </c>
      <c r="D90" s="10" t="n">
        <v>4773.268</v>
      </c>
      <c r="E90" s="10" t="n">
        <v>578.256</v>
      </c>
      <c r="F90" s="11" t="n">
        <v>104.61492</v>
      </c>
    </row>
    <row r="91" customFormat="false" ht="15" hidden="false" customHeight="false" outlineLevel="0" collapsed="false">
      <c r="A91" s="0" t="s">
        <v>150</v>
      </c>
      <c r="B91" s="10" t="n">
        <v>21933.217</v>
      </c>
      <c r="C91" s="10" t="n">
        <v>3776.86</v>
      </c>
      <c r="D91" s="10" t="n">
        <v>4796.274</v>
      </c>
      <c r="E91" s="10" t="n">
        <v>564.241</v>
      </c>
      <c r="F91" s="11" t="n">
        <v>105.78193</v>
      </c>
    </row>
    <row r="92" customFormat="false" ht="15" hidden="false" customHeight="false" outlineLevel="0" collapsed="false">
      <c r="A92" s="0" t="s">
        <v>151</v>
      </c>
      <c r="B92" s="10" t="n">
        <v>21751.238</v>
      </c>
      <c r="C92" s="10" t="n">
        <v>3791.218</v>
      </c>
      <c r="D92" s="10" t="n">
        <v>4866.623</v>
      </c>
      <c r="E92" s="10" t="n">
        <v>544.122</v>
      </c>
      <c r="F92" s="11" t="n">
        <v>106.77007</v>
      </c>
    </row>
    <row r="93" customFormat="false" ht="15" hidden="false" customHeight="false" outlineLevel="0" collapsed="false">
      <c r="A93" s="0" t="s">
        <v>152</v>
      </c>
      <c r="B93" s="10" t="n">
        <v>19958.291</v>
      </c>
      <c r="C93" s="10" t="n">
        <v>3534.511</v>
      </c>
      <c r="D93" s="10" t="n">
        <v>8891.373</v>
      </c>
      <c r="E93" s="10" t="n">
        <v>514.737</v>
      </c>
      <c r="F93" s="11" t="n">
        <v>132.66287</v>
      </c>
    </row>
    <row r="94" customFormat="false" ht="15" hidden="false" customHeight="false" outlineLevel="0" collapsed="false">
      <c r="A94" s="0" t="s">
        <v>153</v>
      </c>
      <c r="B94" s="10" t="n">
        <v>21704.437</v>
      </c>
      <c r="C94" s="10" t="n">
        <v>3797.575</v>
      </c>
      <c r="D94" s="10" t="n">
        <v>7174.111</v>
      </c>
      <c r="E94" s="10" t="n">
        <v>508.011</v>
      </c>
      <c r="F94" s="11" t="n">
        <v>124.14692</v>
      </c>
    </row>
    <row r="95" customFormat="false" ht="15" hidden="false" customHeight="false" outlineLevel="0" collapsed="false">
      <c r="A95" s="0" t="s">
        <v>154</v>
      </c>
      <c r="B95" s="10" t="n">
        <v>22087.16</v>
      </c>
      <c r="C95" s="10" t="n">
        <v>3943.357</v>
      </c>
      <c r="D95" s="10" t="n">
        <v>5928.343</v>
      </c>
      <c r="E95" s="10" t="n">
        <v>516.711</v>
      </c>
      <c r="F95" s="11" t="n">
        <v>125.62864</v>
      </c>
    </row>
    <row r="96" customFormat="false" ht="15" hidden="false" customHeight="false" outlineLevel="0" collapsed="false">
      <c r="A96" s="0" t="s">
        <v>155</v>
      </c>
      <c r="B96" s="10" t="n">
        <v>22680.693</v>
      </c>
      <c r="C96" s="10" t="n">
        <v>4135.342</v>
      </c>
      <c r="D96" s="10" t="n">
        <v>8346.291</v>
      </c>
      <c r="E96" s="10" t="n">
        <v>533.518</v>
      </c>
      <c r="F96" s="11" t="n">
        <v>124.03752</v>
      </c>
    </row>
    <row r="97" customFormat="false" ht="15" hidden="false" customHeight="false" outlineLevel="0" collapsed="false">
      <c r="A97" s="0" t="s">
        <v>156</v>
      </c>
      <c r="B97" s="10" t="n">
        <v>23425.91</v>
      </c>
      <c r="C97" s="10" t="n">
        <v>4368.834</v>
      </c>
      <c r="D97" s="10" t="n">
        <v>7754.325</v>
      </c>
      <c r="E97" s="10" t="n">
        <v>560.634</v>
      </c>
      <c r="F97" s="11" t="n">
        <v>121.78582</v>
      </c>
    </row>
    <row r="98" customFormat="false" ht="15" hidden="false" customHeight="false" outlineLevel="0" collapsed="false">
      <c r="A98" s="0" t="s">
        <v>157</v>
      </c>
      <c r="B98" s="10" t="n">
        <v>23982.379</v>
      </c>
      <c r="C98" s="10" t="n">
        <v>4523.14</v>
      </c>
      <c r="D98" s="10" t="n">
        <v>6795.61</v>
      </c>
      <c r="E98" s="10" t="n">
        <v>587.92</v>
      </c>
      <c r="F98" s="11" t="n">
        <v>118.54086</v>
      </c>
    </row>
    <row r="99" customFormat="false" ht="15" hidden="false" customHeight="false" outlineLevel="0" collapsed="false">
      <c r="A99" s="0" t="s">
        <v>158</v>
      </c>
      <c r="B99" s="10" t="n">
        <v>24813.6</v>
      </c>
      <c r="C99" s="10" t="n">
        <v>4689.041</v>
      </c>
      <c r="D99" s="10" t="n">
        <v>6240.006</v>
      </c>
      <c r="E99" s="10" t="n">
        <v>612.282</v>
      </c>
      <c r="F99" s="11" t="n">
        <v>119.3588</v>
      </c>
    </row>
    <row r="100" customFormat="false" ht="15" hidden="false" customHeight="false" outlineLevel="0" collapsed="false">
      <c r="A100" s="0" t="s">
        <v>159</v>
      </c>
      <c r="B100" s="10" t="n">
        <v>25250.347</v>
      </c>
      <c r="C100" s="10" t="n">
        <v>5075.112</v>
      </c>
      <c r="D100" s="10" t="n">
        <v>6002.815</v>
      </c>
      <c r="E100" s="10" t="n">
        <v>636.968</v>
      </c>
      <c r="F100" s="11" t="n">
        <v>120.39819</v>
      </c>
    </row>
    <row r="101" customFormat="false" ht="15" hidden="false" customHeight="false" outlineLevel="0" collapsed="false">
      <c r="A101" s="0" t="s">
        <v>160</v>
      </c>
      <c r="B101" s="10" t="n">
        <v>25861.292</v>
      </c>
      <c r="C101" s="10" t="n">
        <v>5134.788</v>
      </c>
      <c r="D101" s="10" t="n">
        <v>6079.675</v>
      </c>
      <c r="E101" s="10" t="n">
        <v>684.758</v>
      </c>
      <c r="F101" s="11" t="n">
        <v>118.20207</v>
      </c>
    </row>
    <row r="102" customFormat="false" ht="15" hidden="false" customHeight="false" outlineLevel="0" collapsed="false">
      <c r="A102" s="0" t="s">
        <v>161</v>
      </c>
      <c r="B102" s="10" t="n">
        <v>26336.304</v>
      </c>
      <c r="C102" s="10" t="n">
        <v>5149.418</v>
      </c>
      <c r="D102" s="10" t="n">
        <v>6178.737</v>
      </c>
      <c r="E102" s="10" t="n">
        <v>752.081</v>
      </c>
      <c r="F102" s="11" t="n">
        <v>117.43832</v>
      </c>
    </row>
    <row r="103" customFormat="false" ht="15" hidden="false" customHeight="false" outlineLevel="0" collapsed="false">
      <c r="A103" s="0" t="s">
        <v>162</v>
      </c>
      <c r="B103" s="10" t="n">
        <v>26770.514</v>
      </c>
      <c r="C103" s="10" t="n">
        <v>5102.764</v>
      </c>
      <c r="D103" s="10" t="n">
        <v>6318.34</v>
      </c>
      <c r="E103" s="10" t="n">
        <v>823.106</v>
      </c>
      <c r="F103" s="11" t="n">
        <v>117.36678</v>
      </c>
    </row>
    <row r="104" customFormat="false" ht="15" hidden="false" customHeight="false" outlineLevel="0" collapsed="false">
      <c r="A104" s="0" t="s">
        <v>163</v>
      </c>
      <c r="B104" s="10" t="n">
        <v>27216.445</v>
      </c>
      <c r="C104" s="10" t="n">
        <v>4751.995</v>
      </c>
      <c r="D104" s="10" t="n">
        <v>6433.6</v>
      </c>
      <c r="E104" s="10" t="n">
        <v>861.267</v>
      </c>
      <c r="F104" s="11" t="n">
        <v>115.58614</v>
      </c>
    </row>
    <row r="105" customFormat="false" ht="15" hidden="false" customHeight="false" outlineLevel="0" collapsed="false">
      <c r="A105" s="0" t="s">
        <v>164</v>
      </c>
      <c r="B105" s="10" t="n">
        <v>27530.055</v>
      </c>
      <c r="C105" s="10" t="n">
        <v>4769.417</v>
      </c>
      <c r="D105" s="10" t="n">
        <v>6491.697</v>
      </c>
      <c r="E105" s="10" t="n">
        <v>894.106</v>
      </c>
      <c r="F105" s="11" t="n">
        <v>117.44355</v>
      </c>
    </row>
    <row r="106" customFormat="false" ht="15" hidden="false" customHeight="false" outlineLevel="0" collapsed="false">
      <c r="A106" s="0" t="s">
        <v>165</v>
      </c>
      <c r="B106" s="10" t="n">
        <v>28074.846</v>
      </c>
      <c r="C106" s="10" t="n">
        <v>4835.547</v>
      </c>
      <c r="D106" s="10" t="n">
        <v>6558.635</v>
      </c>
      <c r="E106" s="10" t="n">
        <v>966.899</v>
      </c>
      <c r="F106" s="11" t="n">
        <v>118.13897</v>
      </c>
    </row>
    <row r="107" customFormat="false" ht="15" hidden="false" customHeight="false" outlineLevel="0" collapsed="false">
      <c r="A107" s="0" t="s">
        <v>166</v>
      </c>
      <c r="B107" s="10" t="n">
        <v>28424.722</v>
      </c>
      <c r="C107" s="10" t="n">
        <v>4926.546</v>
      </c>
      <c r="D107" s="10" t="n">
        <v>6668.128</v>
      </c>
      <c r="E107" s="10" t="n">
        <v>1031.478</v>
      </c>
      <c r="F107" s="11" t="n">
        <v>119.61944</v>
      </c>
    </row>
    <row r="108" customFormat="false" ht="15" hidden="false" customHeight="false" outlineLevel="0" collapsed="false">
      <c r="A108" s="0" t="s">
        <v>167</v>
      </c>
      <c r="B108" s="10" t="n">
        <v>28708.161</v>
      </c>
      <c r="C108" s="10" t="n">
        <v>5045.84</v>
      </c>
      <c r="D108" s="10" t="n">
        <v>6846.123</v>
      </c>
      <c r="E108" s="10" t="n">
        <v>1071.174</v>
      </c>
      <c r="F108" s="11" t="n">
        <v>120.47631</v>
      </c>
    </row>
    <row r="109" customFormat="false" ht="15" hidden="false" customHeight="false" outlineLevel="0" collapsed="false">
      <c r="A109" s="0" t="s">
        <v>168</v>
      </c>
      <c r="B109" s="10" t="n">
        <v>29147.044</v>
      </c>
      <c r="C109" s="10" t="n">
        <v>5146.498</v>
      </c>
      <c r="D109" s="10" t="n">
        <v>6954.021</v>
      </c>
      <c r="E109" s="10" t="n">
        <v>1103.565</v>
      </c>
      <c r="F109" s="11" t="n">
        <v>119.50314</v>
      </c>
    </row>
    <row r="110" customFormat="false" ht="15" hidden="false" customHeight="false" outlineLevel="0" collapsed="false">
      <c r="A110" s="0" t="s">
        <v>169</v>
      </c>
      <c r="B110" s="10" t="n">
        <v>29511.664</v>
      </c>
      <c r="C110" s="10" t="n">
        <v>5210.115</v>
      </c>
      <c r="D110" s="10" t="n">
        <v>7165.663</v>
      </c>
      <c r="E110" s="10" t="n">
        <v>1146.182</v>
      </c>
      <c r="F110" s="11" t="n">
        <v>120.17172</v>
      </c>
    </row>
    <row r="111" customFormat="false" ht="15" hidden="false" customHeight="false" outlineLevel="0" collapsed="false">
      <c r="A111" s="0" t="s">
        <v>170</v>
      </c>
      <c r="B111" s="10" t="n">
        <v>29825.182</v>
      </c>
      <c r="C111" s="10" t="n">
        <v>5313.193</v>
      </c>
      <c r="D111" s="10" t="n">
        <v>7247.662</v>
      </c>
      <c r="E111" s="10" t="n">
        <v>1155.616</v>
      </c>
      <c r="F111" s="11" t="n">
        <v>121.43633</v>
      </c>
    </row>
    <row r="112" customFormat="false" ht="15" hidden="false" customHeight="false" outlineLevel="0" collapsed="false">
      <c r="A112" s="0" t="s">
        <v>171</v>
      </c>
      <c r="B112" s="10" t="n">
        <v>30042.113</v>
      </c>
      <c r="C112" s="10" t="n">
        <v>5392.717</v>
      </c>
      <c r="D112" s="10" t="n">
        <v>7313.597</v>
      </c>
      <c r="E112" s="10" t="n">
        <v>1144.212</v>
      </c>
      <c r="F112" s="11" t="n">
        <v>120.54515</v>
      </c>
    </row>
    <row r="113" customFormat="false" ht="15" hidden="false" customHeight="false" outlineLevel="0" collapsed="false">
      <c r="A113" s="0" t="s">
        <v>172</v>
      </c>
      <c r="B113" s="10" t="n">
        <v>30485.729</v>
      </c>
      <c r="C113" s="10" t="n">
        <v>5603.74</v>
      </c>
      <c r="D113" s="10" t="n">
        <v>7496.339</v>
      </c>
      <c r="E113" s="10" t="n">
        <v>1160.9</v>
      </c>
      <c r="F113" s="11" t="n">
        <v>118.78171</v>
      </c>
    </row>
    <row r="114" customFormat="false" ht="15" hidden="false" customHeight="false" outlineLevel="0" collapsed="false">
      <c r="A114" s="0" t="s">
        <v>173</v>
      </c>
      <c r="B114" s="10" t="n">
        <v>31098.027</v>
      </c>
      <c r="C114" s="10" t="n">
        <v>5793.596</v>
      </c>
      <c r="D114" s="10" t="n">
        <v>7580.229</v>
      </c>
      <c r="E114" s="10" t="n">
        <v>1199.189</v>
      </c>
      <c r="F114" s="11" t="n">
        <v>121.02875</v>
      </c>
    </row>
    <row r="115" customFormat="false" ht="15" hidden="false" customHeight="false" outlineLevel="0" collapsed="false">
      <c r="A115" s="0" t="s">
        <v>174</v>
      </c>
      <c r="B115" s="10" t="n">
        <v>31422.526</v>
      </c>
      <c r="C115" s="10" t="n">
        <v>5898.479</v>
      </c>
      <c r="D115" s="10" t="n">
        <v>7583.663</v>
      </c>
      <c r="E115" s="10" t="n">
        <v>1227.495</v>
      </c>
      <c r="F115" s="11" t="n">
        <v>122.56815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8"/>
  </cols>
  <sheetData>
    <row r="1" customFormat="false" ht="19.7" hidden="false" customHeight="false" outlineLevel="0" collapsed="false">
      <c r="A1" s="1" t="s">
        <v>175</v>
      </c>
      <c r="B1" s="1"/>
      <c r="C1" s="1"/>
      <c r="D1" s="1"/>
      <c r="E1" s="1"/>
      <c r="F1" s="1"/>
      <c r="G1" s="1"/>
      <c r="H1" s="1"/>
    </row>
    <row r="2" customFormat="false" ht="69.75" hidden="false" customHeight="true" outlineLevel="0" collapsed="false">
      <c r="A2" s="8" t="s">
        <v>176</v>
      </c>
      <c r="B2" s="8"/>
      <c r="C2" s="8"/>
      <c r="D2" s="8"/>
      <c r="E2" s="8"/>
      <c r="F2" s="8"/>
      <c r="G2" s="8"/>
      <c r="H2" s="8"/>
    </row>
    <row r="4" customFormat="false" ht="28.35" hidden="false" customHeight="false" outlineLevel="0" collapsed="false">
      <c r="A4" s="5" t="s">
        <v>53</v>
      </c>
      <c r="B4" s="5" t="s">
        <v>177</v>
      </c>
      <c r="C4" s="5" t="s">
        <v>178</v>
      </c>
      <c r="D4" s="5" t="s">
        <v>179</v>
      </c>
      <c r="E4" s="5" t="s">
        <v>180</v>
      </c>
      <c r="F4" s="5" t="s">
        <v>181</v>
      </c>
      <c r="G4" s="5" t="s">
        <v>182</v>
      </c>
      <c r="H4" s="5" t="s">
        <v>183</v>
      </c>
    </row>
    <row r="5" customFormat="false" ht="52.2" hidden="false" customHeight="false" outlineLevel="0" collapsed="false">
      <c r="B5" s="9" t="s">
        <v>184</v>
      </c>
      <c r="C5" s="9" t="s">
        <v>185</v>
      </c>
      <c r="D5" s="9" t="s">
        <v>186</v>
      </c>
      <c r="E5" s="9" t="s">
        <v>187</v>
      </c>
      <c r="F5" s="9" t="s">
        <v>188</v>
      </c>
      <c r="G5" s="9" t="s">
        <v>189</v>
      </c>
      <c r="H5" s="9" t="s">
        <v>190</v>
      </c>
    </row>
    <row r="6" customFormat="false" ht="15" hidden="false" customHeight="false" outlineLevel="0" collapsed="false">
      <c r="A6" s="0" t="str">
        <f aca="false">'US Raw Data'!A6</f>
        <v>1998-Q3</v>
      </c>
      <c r="B6" s="11" t="n">
        <f aca="false">'US Raw Data'!C6/'US Raw Data'!B6*100</f>
        <v>19.8270778175038</v>
      </c>
      <c r="C6" s="11" t="n">
        <f aca="false">('US Raw Data'!D6-'US Raw Data'!E6)/'US Raw Data'!B6*100</f>
        <v>15.5938918312128</v>
      </c>
      <c r="D6" s="11" t="n">
        <f aca="false">C6</f>
        <v>15.5938918312128</v>
      </c>
      <c r="E6" s="10" t="n">
        <f aca="false">'US Raw Data'!E6</f>
        <v>366.204</v>
      </c>
      <c r="F6" s="11" t="n">
        <f aca="false">'US Raw Data'!E6/(('US Raw Data'!F5/100)*'US Raw Data'!B5)*100</f>
        <v>6.60072664732026</v>
      </c>
      <c r="G6" s="11" t="n">
        <f aca="false">'US Raw Data'!F5</f>
        <v>61.85196</v>
      </c>
      <c r="H6" s="11" t="n">
        <f aca="false">'US Raw Data'!E6/'US Raw Data'!B5*100</f>
        <v>4.08267880560987</v>
      </c>
    </row>
    <row r="7" customFormat="false" ht="15" hidden="false" customHeight="false" outlineLevel="0" collapsed="false">
      <c r="A7" s="0" t="str">
        <f aca="false">'US Raw Data'!A7</f>
        <v>1998-Q4</v>
      </c>
      <c r="B7" s="11" t="n">
        <f aca="false">'US Raw Data'!C7/'US Raw Data'!B7*100</f>
        <v>19.7448544979224</v>
      </c>
      <c r="C7" s="11" t="n">
        <f aca="false">('US Raw Data'!D7-'US Raw Data'!E7)/'US Raw Data'!B7*100</f>
        <v>15.64914362409</v>
      </c>
      <c r="D7" s="11" t="n">
        <f aca="false">C7</f>
        <v>15.64914362409</v>
      </c>
      <c r="E7" s="10" t="n">
        <f aca="false">'US Raw Data'!E7</f>
        <v>360.088</v>
      </c>
      <c r="F7" s="11" t="n">
        <f aca="false">'US Raw Data'!E7/(('US Raw Data'!F6/100)*'US Raw Data'!B6)*100</f>
        <v>6.5160232823013</v>
      </c>
      <c r="G7" s="11" t="n">
        <f aca="false">'US Raw Data'!F6</f>
        <v>60.58693</v>
      </c>
      <c r="H7" s="11" t="n">
        <f aca="false">'US Raw Data'!E7/'US Raw Data'!B6*100</f>
        <v>3.94785846483159</v>
      </c>
    </row>
    <row r="8" customFormat="false" ht="15" hidden="false" customHeight="false" outlineLevel="0" collapsed="false">
      <c r="A8" s="0" t="str">
        <f aca="false">'US Raw Data'!A8</f>
        <v>1999-Q1</v>
      </c>
      <c r="B8" s="11" t="n">
        <f aca="false">'US Raw Data'!C8/'US Raw Data'!B8*100</f>
        <v>19.7626949146816</v>
      </c>
      <c r="C8" s="11" t="n">
        <f aca="false">('US Raw Data'!D8-'US Raw Data'!E8)/'US Raw Data'!B8*100</f>
        <v>15.5061762605239</v>
      </c>
      <c r="D8" s="11" t="n">
        <f aca="false">C8</f>
        <v>15.5061762605239</v>
      </c>
      <c r="E8" s="10" t="n">
        <f aca="false">'US Raw Data'!E8</f>
        <v>352.596</v>
      </c>
      <c r="F8" s="11" t="n">
        <f aca="false">'US Raw Data'!E8/(('US Raw Data'!F7/100)*'US Raw Data'!B7)*100</f>
        <v>6.28041226870395</v>
      </c>
      <c r="G8" s="11" t="n">
        <f aca="false">'US Raw Data'!F7</f>
        <v>60.40696</v>
      </c>
      <c r="H8" s="11" t="n">
        <f aca="false">'US Raw Data'!E8/'US Raw Data'!B7*100</f>
        <v>3.79380612699109</v>
      </c>
    </row>
    <row r="9" customFormat="false" ht="15" hidden="false" customHeight="false" outlineLevel="0" collapsed="false">
      <c r="A9" s="0" t="str">
        <f aca="false">'US Raw Data'!A9</f>
        <v>1999-Q2</v>
      </c>
      <c r="B9" s="11" t="n">
        <f aca="false">'US Raw Data'!C9/'US Raw Data'!B9*100</f>
        <v>19.789444070622</v>
      </c>
      <c r="C9" s="11" t="n">
        <f aca="false">('US Raw Data'!D9-'US Raw Data'!E9)/'US Raw Data'!B9*100</f>
        <v>15.3767342941212</v>
      </c>
      <c r="D9" s="11" t="n">
        <f aca="false">C9</f>
        <v>15.3767342941212</v>
      </c>
      <c r="E9" s="10" t="n">
        <f aca="false">'US Raw Data'!E9</f>
        <v>352.141</v>
      </c>
      <c r="F9" s="11" t="n">
        <f aca="false">'US Raw Data'!E9/(('US Raw Data'!F8/100)*'US Raw Data'!B8)*100</f>
        <v>6.23080274806465</v>
      </c>
      <c r="G9" s="11" t="n">
        <f aca="false">'US Raw Data'!F8</f>
        <v>60.04894</v>
      </c>
      <c r="H9" s="11" t="n">
        <f aca="false">'US Raw Data'!E9/'US Raw Data'!B8*100</f>
        <v>3.7415310037037</v>
      </c>
    </row>
    <row r="10" customFormat="false" ht="15" hidden="false" customHeight="false" outlineLevel="0" collapsed="false">
      <c r="A10" s="0" t="str">
        <f aca="false">'US Raw Data'!A10</f>
        <v>1999-Q3</v>
      </c>
      <c r="B10" s="11" t="n">
        <f aca="false">'US Raw Data'!C10/'US Raw Data'!B10*100</f>
        <v>19.768100884663</v>
      </c>
      <c r="C10" s="11" t="n">
        <f aca="false">('US Raw Data'!D10-'US Raw Data'!E10)/'US Raw Data'!B10*100</f>
        <v>15.4040426460152</v>
      </c>
      <c r="D10" s="11" t="n">
        <f aca="false">C10</f>
        <v>15.4040426460152</v>
      </c>
      <c r="E10" s="10" t="n">
        <f aca="false">'US Raw Data'!E10</f>
        <v>351.073</v>
      </c>
      <c r="F10" s="11" t="n">
        <f aca="false">'US Raw Data'!E10/(('US Raw Data'!F9/100)*'US Raw Data'!B9)*100</f>
        <v>6.22604541210404</v>
      </c>
      <c r="G10" s="11" t="n">
        <f aca="false">'US Raw Data'!F9</f>
        <v>59.19227</v>
      </c>
      <c r="H10" s="11" t="n">
        <f aca="false">'US Raw Data'!E10/'US Raw Data'!B9*100</f>
        <v>3.68533761065523</v>
      </c>
    </row>
    <row r="11" customFormat="false" ht="15" hidden="false" customHeight="false" outlineLevel="0" collapsed="false">
      <c r="A11" s="0" t="str">
        <f aca="false">'US Raw Data'!A11</f>
        <v>1999-Q4</v>
      </c>
      <c r="B11" s="11" t="n">
        <f aca="false">'US Raw Data'!C11/'US Raw Data'!B11*100</f>
        <v>19.8355805845335</v>
      </c>
      <c r="C11" s="11" t="n">
        <f aca="false">('US Raw Data'!D11-'US Raw Data'!E11)/'US Raw Data'!B11*100</f>
        <v>15.3757880294771</v>
      </c>
      <c r="D11" s="11" t="n">
        <f aca="false">C11</f>
        <v>15.3757880294771</v>
      </c>
      <c r="E11" s="10" t="n">
        <f aca="false">'US Raw Data'!E11</f>
        <v>352.925</v>
      </c>
      <c r="F11" s="11" t="n">
        <f aca="false">'US Raw Data'!E11/(('US Raw Data'!F10/100)*'US Raw Data'!B10)*100</f>
        <v>6.23953502600829</v>
      </c>
      <c r="G11" s="11" t="n">
        <f aca="false">'US Raw Data'!F10</f>
        <v>58.39258</v>
      </c>
      <c r="H11" s="11" t="n">
        <f aca="false">'US Raw Data'!E11/'US Raw Data'!B10*100</f>
        <v>3.64342548168991</v>
      </c>
    </row>
    <row r="12" customFormat="false" ht="15" hidden="false" customHeight="false" outlineLevel="0" collapsed="false">
      <c r="A12" s="0" t="str">
        <f aca="false">'US Raw Data'!A12</f>
        <v>2000-Q1</v>
      </c>
      <c r="B12" s="11" t="n">
        <f aca="false">'US Raw Data'!C12/'US Raw Data'!B12*100</f>
        <v>20.4131919654707</v>
      </c>
      <c r="C12" s="11" t="n">
        <f aca="false">('US Raw Data'!D12-'US Raw Data'!E12)/'US Raw Data'!B12*100</f>
        <v>15.1115671895094</v>
      </c>
      <c r="D12" s="11" t="n">
        <f aca="false">C12</f>
        <v>15.1115671895094</v>
      </c>
      <c r="E12" s="10" t="n">
        <f aca="false">'US Raw Data'!E12</f>
        <v>354.822</v>
      </c>
      <c r="F12" s="11" t="n">
        <f aca="false">'US Raw Data'!E12/(('US Raw Data'!F11/100)*'US Raw Data'!B11)*100</f>
        <v>6.14294312952886</v>
      </c>
      <c r="G12" s="11" t="n">
        <f aca="false">'US Raw Data'!F11</f>
        <v>58.34336</v>
      </c>
      <c r="H12" s="11" t="n">
        <f aca="false">'US Raw Data'!E12/'US Raw Data'!B11*100</f>
        <v>3.58399942465629</v>
      </c>
    </row>
    <row r="13" customFormat="false" ht="15" hidden="false" customHeight="false" outlineLevel="0" collapsed="false">
      <c r="A13" s="0" t="str">
        <f aca="false">'US Raw Data'!A13</f>
        <v>2000-Q2</v>
      </c>
      <c r="B13" s="11" t="n">
        <f aca="false">'US Raw Data'!C13/'US Raw Data'!B13*100</f>
        <v>20.0657219361965</v>
      </c>
      <c r="C13" s="11" t="n">
        <f aca="false">('US Raw Data'!D13-'US Raw Data'!E13)/'US Raw Data'!B13*100</f>
        <v>15.169579184443</v>
      </c>
      <c r="D13" s="11" t="n">
        <f aca="false">C13</f>
        <v>15.169579184443</v>
      </c>
      <c r="E13" s="10" t="n">
        <f aca="false">'US Raw Data'!E13</f>
        <v>354.109</v>
      </c>
      <c r="F13" s="11" t="n">
        <f aca="false">'US Raw Data'!E13/(('US Raw Data'!F12/100)*'US Raw Data'!B12)*100</f>
        <v>6.13346565513686</v>
      </c>
      <c r="G13" s="11" t="n">
        <f aca="false">'US Raw Data'!F12</f>
        <v>57.72134</v>
      </c>
      <c r="H13" s="11" t="n">
        <f aca="false">'US Raw Data'!E13/'US Raw Data'!B12*100</f>
        <v>3.54031856458478</v>
      </c>
    </row>
    <row r="14" customFormat="false" ht="15" hidden="false" customHeight="false" outlineLevel="0" collapsed="false">
      <c r="A14" s="0" t="str">
        <f aca="false">'US Raw Data'!A14</f>
        <v>2000-Q3</v>
      </c>
      <c r="B14" s="11" t="n">
        <f aca="false">'US Raw Data'!C14/'US Raw Data'!B14*100</f>
        <v>20.1224539440879</v>
      </c>
      <c r="C14" s="11" t="n">
        <f aca="false">('US Raw Data'!D14-'US Raw Data'!E14)/'US Raw Data'!B14*100</f>
        <v>15.17459742115</v>
      </c>
      <c r="D14" s="11" t="n">
        <f aca="false">C14</f>
        <v>15.17459742115</v>
      </c>
      <c r="E14" s="10" t="n">
        <f aca="false">'US Raw Data'!E14</f>
        <v>352.877</v>
      </c>
      <c r="F14" s="11" t="n">
        <f aca="false">'US Raw Data'!E14/(('US Raw Data'!F13/100)*'US Raw Data'!B13)*100</f>
        <v>6.20613496674317</v>
      </c>
      <c r="G14" s="11" t="n">
        <f aca="false">'US Raw Data'!F13</f>
        <v>55.48491</v>
      </c>
      <c r="H14" s="11" t="n">
        <f aca="false">'US Raw Data'!E14/'US Raw Data'!B13*100</f>
        <v>3.44346840077598</v>
      </c>
    </row>
    <row r="15" customFormat="false" ht="15" hidden="false" customHeight="false" outlineLevel="0" collapsed="false">
      <c r="A15" s="0" t="str">
        <f aca="false">'US Raw Data'!A15</f>
        <v>2000-Q4</v>
      </c>
      <c r="B15" s="11" t="n">
        <f aca="false">'US Raw Data'!C15/'US Raw Data'!B15*100</f>
        <v>20.0924438161764</v>
      </c>
      <c r="C15" s="11" t="n">
        <f aca="false">('US Raw Data'!D15-'US Raw Data'!E15)/'US Raw Data'!B15*100</f>
        <v>15.1948054685895</v>
      </c>
      <c r="D15" s="11" t="n">
        <f aca="false">C15</f>
        <v>15.1948054685895</v>
      </c>
      <c r="E15" s="10" t="n">
        <f aca="false">'US Raw Data'!E15</f>
        <v>353.105</v>
      </c>
      <c r="F15" s="11" t="n">
        <f aca="false">'US Raw Data'!E15/(('US Raw Data'!F14/100)*'US Raw Data'!B14)*100</f>
        <v>6.22301513612717</v>
      </c>
      <c r="G15" s="11" t="n">
        <f aca="false">'US Raw Data'!F14</f>
        <v>54.99213</v>
      </c>
      <c r="H15" s="11" t="n">
        <f aca="false">'US Raw Data'!E15/'US Raw Data'!B14*100</f>
        <v>3.42216857357873</v>
      </c>
    </row>
    <row r="16" customFormat="false" ht="15" hidden="false" customHeight="false" outlineLevel="0" collapsed="false">
      <c r="A16" s="0" t="str">
        <f aca="false">'US Raw Data'!A16</f>
        <v>2001-Q1</v>
      </c>
      <c r="B16" s="11" t="n">
        <f aca="false">'US Raw Data'!C16/'US Raw Data'!B16*100</f>
        <v>20.1624777906046</v>
      </c>
      <c r="C16" s="11" t="n">
        <f aca="false">('US Raw Data'!D16-'US Raw Data'!E16)/'US Raw Data'!B16*100</f>
        <v>15.6362070712671</v>
      </c>
      <c r="D16" s="11" t="n">
        <f aca="false">C16</f>
        <v>15.6362070712671</v>
      </c>
      <c r="E16" s="10" t="n">
        <f aca="false">'US Raw Data'!E16</f>
        <v>345.479</v>
      </c>
      <c r="F16" s="11" t="n">
        <f aca="false">'US Raw Data'!E16/(('US Raw Data'!F15/100)*'US Raw Data'!B15)*100</f>
        <v>6.10148090140716</v>
      </c>
      <c r="G16" s="11" t="n">
        <f aca="false">'US Raw Data'!F15</f>
        <v>54.2579</v>
      </c>
      <c r="H16" s="11" t="n">
        <f aca="false">'US Raw Data'!E16/'US Raw Data'!B15*100</f>
        <v>3.31053540600459</v>
      </c>
    </row>
    <row r="17" customFormat="false" ht="15" hidden="false" customHeight="false" outlineLevel="0" collapsed="false">
      <c r="A17" s="0" t="str">
        <f aca="false">'US Raw Data'!A17</f>
        <v>2001-Q2</v>
      </c>
      <c r="B17" s="11" t="n">
        <f aca="false">'US Raw Data'!C17/'US Raw Data'!B17*100</f>
        <v>19.7977073308803</v>
      </c>
      <c r="C17" s="11" t="n">
        <f aca="false">('US Raw Data'!D17-'US Raw Data'!E17)/'US Raw Data'!B17*100</f>
        <v>15.7449287668648</v>
      </c>
      <c r="D17" s="11" t="n">
        <f aca="false">C17</f>
        <v>15.7449287668648</v>
      </c>
      <c r="E17" s="10" t="n">
        <f aca="false">'US Raw Data'!E17</f>
        <v>334.776</v>
      </c>
      <c r="F17" s="11" t="n">
        <f aca="false">'US Raw Data'!E17/(('US Raw Data'!F16/100)*'US Raw Data'!B16)*100</f>
        <v>5.79825230567201</v>
      </c>
      <c r="G17" s="11" t="n">
        <f aca="false">'US Raw Data'!F16</f>
        <v>55.14434</v>
      </c>
      <c r="H17" s="11" t="n">
        <f aca="false">'US Raw Data'!E17/'US Raw Data'!B16*100</f>
        <v>3.19740796549761</v>
      </c>
    </row>
    <row r="18" customFormat="false" ht="15" hidden="false" customHeight="false" outlineLevel="0" collapsed="false">
      <c r="A18" s="0" t="str">
        <f aca="false">'US Raw Data'!A18</f>
        <v>2001-Q3</v>
      </c>
      <c r="B18" s="11" t="n">
        <f aca="false">'US Raw Data'!C18/'US Raw Data'!B18*100</f>
        <v>18.0003340246574</v>
      </c>
      <c r="C18" s="11" t="n">
        <f aca="false">('US Raw Data'!D18-'US Raw Data'!E18)/'US Raw Data'!B18*100</f>
        <v>16.1433645152585</v>
      </c>
      <c r="D18" s="11" t="n">
        <f aca="false">C18</f>
        <v>16.1433645152585</v>
      </c>
      <c r="E18" s="10" t="n">
        <f aca="false">'US Raw Data'!E18</f>
        <v>326.826</v>
      </c>
      <c r="F18" s="11" t="n">
        <f aca="false">'US Raw Data'!E18/(('US Raw Data'!F17/100)*'US Raw Data'!B17)*100</f>
        <v>5.70694223175385</v>
      </c>
      <c r="G18" s="11" t="n">
        <f aca="false">'US Raw Data'!F17</f>
        <v>54.03165</v>
      </c>
      <c r="H18" s="11" t="n">
        <f aca="false">'US Raw Data'!E18/'US Raw Data'!B17*100</f>
        <v>3.08355505236343</v>
      </c>
    </row>
    <row r="19" customFormat="false" ht="15" hidden="false" customHeight="false" outlineLevel="0" collapsed="false">
      <c r="A19" s="0" t="str">
        <f aca="false">'US Raw Data'!A19</f>
        <v>2001-Q4</v>
      </c>
      <c r="B19" s="11" t="n">
        <f aca="false">'US Raw Data'!C19/'US Raw Data'!B19*100</f>
        <v>18.8769908254471</v>
      </c>
      <c r="C19" s="11" t="n">
        <f aca="false">('US Raw Data'!D19-'US Raw Data'!E19)/'US Raw Data'!B19*100</f>
        <v>16.2055126113167</v>
      </c>
      <c r="D19" s="11" t="n">
        <f aca="false">C19</f>
        <v>16.2055126113167</v>
      </c>
      <c r="E19" s="10" t="n">
        <f aca="false">'US Raw Data'!E19</f>
        <v>317.821</v>
      </c>
      <c r="F19" s="11" t="n">
        <f aca="false">'US Raw Data'!E19/(('US Raw Data'!F18/100)*'US Raw Data'!B18)*100</f>
        <v>5.47262990628528</v>
      </c>
      <c r="G19" s="11" t="n">
        <f aca="false">'US Raw Data'!F18</f>
        <v>54.79763</v>
      </c>
      <c r="H19" s="11" t="n">
        <f aca="false">'US Raw Data'!E19/'US Raw Data'!B18*100</f>
        <v>2.99887148731556</v>
      </c>
    </row>
    <row r="20" customFormat="false" ht="15" hidden="false" customHeight="false" outlineLevel="0" collapsed="false">
      <c r="A20" s="0" t="str">
        <f aca="false">'US Raw Data'!A20</f>
        <v>2002-Q1</v>
      </c>
      <c r="B20" s="11" t="n">
        <f aca="false">'US Raw Data'!C20/'US Raw Data'!B20*100</f>
        <v>17.30084851857</v>
      </c>
      <c r="C20" s="11" t="n">
        <f aca="false">('US Raw Data'!D20-'US Raw Data'!E20)/'US Raw Data'!B20*100</f>
        <v>16.5673297166968</v>
      </c>
      <c r="D20" s="11" t="n">
        <f aca="false">C20</f>
        <v>16.5673297166968</v>
      </c>
      <c r="E20" s="10" t="n">
        <f aca="false">'US Raw Data'!E20</f>
        <v>304.931</v>
      </c>
      <c r="F20" s="11" t="n">
        <f aca="false">'US Raw Data'!E20/(('US Raw Data'!F19/100)*'US Raw Data'!B19)*100</f>
        <v>5.13054772103213</v>
      </c>
      <c r="G20" s="11" t="n">
        <f aca="false">'US Raw Data'!F19</f>
        <v>55.75216</v>
      </c>
      <c r="H20" s="11" t="n">
        <f aca="false">'US Raw Data'!E20/'US Raw Data'!B19*100</f>
        <v>2.86039117430619</v>
      </c>
    </row>
    <row r="21" customFormat="false" ht="15" hidden="false" customHeight="false" outlineLevel="0" collapsed="false">
      <c r="A21" s="0" t="str">
        <f aca="false">'US Raw Data'!A21</f>
        <v>2002-Q2</v>
      </c>
      <c r="B21" s="11" t="n">
        <f aca="false">'US Raw Data'!C21/'US Raw Data'!B21*100</f>
        <v>17.1576474218964</v>
      </c>
      <c r="C21" s="11" t="n">
        <f aca="false">('US Raw Data'!D21-'US Raw Data'!E21)/'US Raw Data'!B21*100</f>
        <v>16.7920525081148</v>
      </c>
      <c r="D21" s="11" t="n">
        <f aca="false">C21</f>
        <v>16.7920525081148</v>
      </c>
      <c r="E21" s="10" t="n">
        <f aca="false">'US Raw Data'!E21</f>
        <v>301.958</v>
      </c>
      <c r="F21" s="11" t="n">
        <f aca="false">'US Raw Data'!E21/(('US Raw Data'!F20/100)*'US Raw Data'!B20)*100</f>
        <v>5.02757887576401</v>
      </c>
      <c r="G21" s="11" t="n">
        <f aca="false">'US Raw Data'!F20</f>
        <v>55.6965</v>
      </c>
      <c r="H21" s="11" t="n">
        <f aca="false">'US Raw Data'!E21/'US Raw Data'!B20*100</f>
        <v>2.8001854685399</v>
      </c>
    </row>
    <row r="22" customFormat="false" ht="15" hidden="false" customHeight="false" outlineLevel="0" collapsed="false">
      <c r="A22" s="0" t="str">
        <f aca="false">'US Raw Data'!A22</f>
        <v>2002-Q3</v>
      </c>
      <c r="B22" s="11" t="n">
        <f aca="false">'US Raw Data'!C22/'US Raw Data'!B22*100</f>
        <v>17.022680179606</v>
      </c>
      <c r="C22" s="11" t="n">
        <f aca="false">('US Raw Data'!D22-'US Raw Data'!E22)/'US Raw Data'!B22*100</f>
        <v>16.826750448833</v>
      </c>
      <c r="D22" s="11" t="n">
        <f aca="false">C22</f>
        <v>16.826750448833</v>
      </c>
      <c r="E22" s="10" t="n">
        <f aca="false">'US Raw Data'!E22</f>
        <v>300.19</v>
      </c>
      <c r="F22" s="11" t="n">
        <f aca="false">'US Raw Data'!E22/(('US Raw Data'!F21/100)*'US Raw Data'!B21)*100</f>
        <v>4.89988648138418</v>
      </c>
      <c r="G22" s="11" t="n">
        <f aca="false">'US Raw Data'!F21</f>
        <v>56.27087</v>
      </c>
      <c r="H22" s="11" t="n">
        <f aca="false">'US Raw Data'!E22/'US Raw Data'!B21*100</f>
        <v>2.75720875208726</v>
      </c>
    </row>
    <row r="23" customFormat="false" ht="15" hidden="false" customHeight="false" outlineLevel="0" collapsed="false">
      <c r="A23" s="0" t="str">
        <f aca="false">'US Raw Data'!A23</f>
        <v>2002-Q4</v>
      </c>
      <c r="B23" s="11" t="n">
        <f aca="false">'US Raw Data'!C23/'US Raw Data'!B23*100</f>
        <v>16.9968755404476</v>
      </c>
      <c r="C23" s="11" t="n">
        <f aca="false">('US Raw Data'!D23-'US Raw Data'!E23)/'US Raw Data'!B23*100</f>
        <v>17.056479029435</v>
      </c>
      <c r="D23" s="11" t="n">
        <f aca="false">C23</f>
        <v>17.056479029435</v>
      </c>
      <c r="E23" s="10" t="n">
        <f aca="false">'US Raw Data'!E23</f>
        <v>298.006</v>
      </c>
      <c r="F23" s="11" t="n">
        <f aca="false">'US Raw Data'!E23/(('US Raw Data'!F22/100)*'US Raw Data'!B22)*100</f>
        <v>4.78475747095131</v>
      </c>
      <c r="G23" s="11" t="n">
        <f aca="false">'US Raw Data'!F22</f>
        <v>56.7026</v>
      </c>
      <c r="H23" s="11" t="n">
        <f aca="false">'US Raw Data'!E23/'US Raw Data'!B22*100</f>
        <v>2.71308188972364</v>
      </c>
    </row>
    <row r="24" customFormat="false" ht="15" hidden="false" customHeight="false" outlineLevel="0" collapsed="false">
      <c r="A24" s="0" t="str">
        <f aca="false">'US Raw Data'!A24</f>
        <v>2003-Q1</v>
      </c>
      <c r="B24" s="11" t="n">
        <f aca="false">'US Raw Data'!C24/'US Raw Data'!B24*100</f>
        <v>16.9124233307133</v>
      </c>
      <c r="C24" s="11" t="n">
        <f aca="false">('US Raw Data'!D24-'US Raw Data'!E24)/'US Raw Data'!B24*100</f>
        <v>17.2672787292862</v>
      </c>
      <c r="D24" s="11" t="n">
        <f aca="false">C24</f>
        <v>17.2672787292862</v>
      </c>
      <c r="E24" s="10" t="n">
        <f aca="false">'US Raw Data'!E24</f>
        <v>290.794</v>
      </c>
      <c r="F24" s="11" t="n">
        <f aca="false">'US Raw Data'!E24/(('US Raw Data'!F23/100)*'US Raw Data'!B23)*100</f>
        <v>4.53960832217772</v>
      </c>
      <c r="G24" s="11" t="n">
        <f aca="false">'US Raw Data'!F23</f>
        <v>57.91028</v>
      </c>
      <c r="H24" s="11" t="n">
        <f aca="false">'US Raw Data'!E24/'US Raw Data'!B23*100</f>
        <v>2.62889989027642</v>
      </c>
    </row>
    <row r="25" customFormat="false" ht="15" hidden="false" customHeight="false" outlineLevel="0" collapsed="false">
      <c r="A25" s="0" t="str">
        <f aca="false">'US Raw Data'!A25</f>
        <v>2003-Q2</v>
      </c>
      <c r="B25" s="11" t="n">
        <f aca="false">'US Raw Data'!C25/'US Raw Data'!B25*100</f>
        <v>16.9071295207556</v>
      </c>
      <c r="C25" s="11" t="n">
        <f aca="false">('US Raw Data'!D25-'US Raw Data'!E25)/'US Raw Data'!B25*100</f>
        <v>17.7639756713787</v>
      </c>
      <c r="D25" s="11" t="n">
        <f aca="false">C25</f>
        <v>17.7639756713787</v>
      </c>
      <c r="E25" s="10" t="n">
        <f aca="false">'US Raw Data'!E25</f>
        <v>290.322</v>
      </c>
      <c r="F25" s="11" t="n">
        <f aca="false">'US Raw Data'!E25/(('US Raw Data'!F24/100)*'US Raw Data'!B24)*100</f>
        <v>4.49360857314973</v>
      </c>
      <c r="G25" s="11" t="n">
        <f aca="false">'US Raw Data'!F24</f>
        <v>57.81906</v>
      </c>
      <c r="H25" s="11" t="n">
        <f aca="false">'US Raw Data'!E25/'US Raw Data'!B24*100</f>
        <v>2.59816223707459</v>
      </c>
    </row>
    <row r="26" customFormat="false" ht="15" hidden="false" customHeight="false" outlineLevel="0" collapsed="false">
      <c r="A26" s="0" t="str">
        <f aca="false">'US Raw Data'!A26</f>
        <v>2003-Q3</v>
      </c>
      <c r="B26" s="11" t="n">
        <f aca="false">'US Raw Data'!C26/'US Raw Data'!B26*100</f>
        <v>15.9093858396052</v>
      </c>
      <c r="C26" s="11" t="n">
        <f aca="false">('US Raw Data'!D26-'US Raw Data'!E26)/'US Raw Data'!B26*100</f>
        <v>17.4463624747972</v>
      </c>
      <c r="D26" s="11" t="n">
        <f aca="false">C26</f>
        <v>17.4463624747972</v>
      </c>
      <c r="E26" s="10" t="n">
        <f aca="false">'US Raw Data'!E26</f>
        <v>291.659</v>
      </c>
      <c r="F26" s="11" t="n">
        <f aca="false">'US Raw Data'!E26/(('US Raw Data'!F25/100)*'US Raw Data'!B25)*100</f>
        <v>4.3726192666329</v>
      </c>
      <c r="G26" s="11" t="n">
        <f aca="false">'US Raw Data'!F25</f>
        <v>58.96101</v>
      </c>
      <c r="H26" s="11" t="n">
        <f aca="false">'US Raw Data'!E26/'US Raw Data'!B25*100</f>
        <v>2.57814048306135</v>
      </c>
    </row>
    <row r="27" customFormat="false" ht="15" hidden="false" customHeight="false" outlineLevel="0" collapsed="false">
      <c r="A27" s="0" t="str">
        <f aca="false">'US Raw Data'!A27</f>
        <v>2003-Q4</v>
      </c>
      <c r="B27" s="11" t="n">
        <f aca="false">'US Raw Data'!C27/'US Raw Data'!B27*100</f>
        <v>16.4947111992507</v>
      </c>
      <c r="C27" s="11" t="n">
        <f aca="false">('US Raw Data'!D27-'US Raw Data'!E27)/'US Raw Data'!B27*100</f>
        <v>17.4144686556519</v>
      </c>
      <c r="D27" s="11" t="n">
        <f aca="false">C27</f>
        <v>17.4144686556519</v>
      </c>
      <c r="E27" s="10" t="n">
        <f aca="false">'US Raw Data'!E27</f>
        <v>294.108</v>
      </c>
      <c r="F27" s="11" t="n">
        <f aca="false">'US Raw Data'!E27/(('US Raw Data'!F26/100)*'US Raw Data'!B26)*100</f>
        <v>4.33575270111417</v>
      </c>
      <c r="G27" s="11" t="n">
        <f aca="false">'US Raw Data'!F26</f>
        <v>58.64541</v>
      </c>
      <c r="H27" s="11" t="n">
        <f aca="false">'US Raw Data'!E27/'US Raw Data'!B26*100</f>
        <v>2.54271994815448</v>
      </c>
    </row>
    <row r="28" customFormat="false" ht="15" hidden="false" customHeight="false" outlineLevel="0" collapsed="false">
      <c r="A28" s="0" t="str">
        <f aca="false">'US Raw Data'!A28</f>
        <v>2004-Q1</v>
      </c>
      <c r="B28" s="11" t="n">
        <f aca="false">'US Raw Data'!C28/'US Raw Data'!B28*100</f>
        <v>16.3716582964641</v>
      </c>
      <c r="C28" s="11" t="n">
        <f aca="false">('US Raw Data'!D28-'US Raw Data'!E28)/'US Raw Data'!B28*100</f>
        <v>17.4711054613653</v>
      </c>
      <c r="D28" s="11" t="n">
        <f aca="false">C28</f>
        <v>17.4711054613653</v>
      </c>
      <c r="E28" s="10" t="n">
        <f aca="false">'US Raw Data'!E28</f>
        <v>297.882</v>
      </c>
      <c r="F28" s="11" t="n">
        <f aca="false">'US Raw Data'!E28/(('US Raw Data'!F27/100)*'US Raw Data'!B27)*100</f>
        <v>4.25669494371098</v>
      </c>
      <c r="G28" s="11" t="n">
        <f aca="false">'US Raw Data'!F27</f>
        <v>59.44466</v>
      </c>
      <c r="H28" s="11" t="n">
        <f aca="false">'US Raw Data'!E28/'US Raw Data'!B27*100</f>
        <v>2.53037783652619</v>
      </c>
    </row>
    <row r="29" customFormat="false" ht="15" hidden="false" customHeight="false" outlineLevel="0" collapsed="false">
      <c r="A29" s="0" t="str">
        <f aca="false">'US Raw Data'!A29</f>
        <v>2004-Q2</v>
      </c>
      <c r="B29" s="11" t="n">
        <f aca="false">'US Raw Data'!C29/'US Raw Data'!B29*100</f>
        <v>16.5401931755748</v>
      </c>
      <c r="C29" s="11" t="n">
        <f aca="false">('US Raw Data'!D29-'US Raw Data'!E29)/'US Raw Data'!B29*100</f>
        <v>17.3431114072162</v>
      </c>
      <c r="D29" s="11" t="n">
        <f aca="false">C29</f>
        <v>17.3431114072162</v>
      </c>
      <c r="E29" s="10" t="n">
        <f aca="false">'US Raw Data'!E29</f>
        <v>299.661</v>
      </c>
      <c r="F29" s="11" t="n">
        <f aca="false">'US Raw Data'!E29/(('US Raw Data'!F28/100)*'US Raw Data'!B28)*100</f>
        <v>4.20218970611242</v>
      </c>
      <c r="G29" s="11" t="n">
        <f aca="false">'US Raw Data'!F28</f>
        <v>59.8071</v>
      </c>
      <c r="H29" s="11" t="n">
        <f aca="false">'US Raw Data'!E29/'US Raw Data'!B28*100</f>
        <v>2.51320779972436</v>
      </c>
    </row>
    <row r="30" customFormat="false" ht="15" hidden="false" customHeight="false" outlineLevel="0" collapsed="false">
      <c r="A30" s="0" t="str">
        <f aca="false">'US Raw Data'!A30</f>
        <v>2004-Q3</v>
      </c>
      <c r="B30" s="11" t="n">
        <f aca="false">'US Raw Data'!C30/'US Raw Data'!B30*100</f>
        <v>16.7636045163278</v>
      </c>
      <c r="C30" s="11" t="n">
        <f aca="false">('US Raw Data'!D30-'US Raw Data'!E30)/'US Raw Data'!B30*100</f>
        <v>17.2335074614555</v>
      </c>
      <c r="D30" s="11" t="n">
        <f aca="false">C30</f>
        <v>17.2335074614555</v>
      </c>
      <c r="E30" s="10" t="n">
        <f aca="false">'US Raw Data'!E30</f>
        <v>308.159</v>
      </c>
      <c r="F30" s="11" t="n">
        <f aca="false">'US Raw Data'!E30/(('US Raw Data'!F29/100)*'US Raw Data'!B29)*100</f>
        <v>4.23624959840142</v>
      </c>
      <c r="G30" s="11" t="n">
        <f aca="false">'US Raw Data'!F29</f>
        <v>60.05487</v>
      </c>
      <c r="H30" s="11" t="n">
        <f aca="false">'US Raw Data'!E30/'US Raw Data'!B29*100</f>
        <v>2.54407418919549</v>
      </c>
    </row>
    <row r="31" customFormat="false" ht="15" hidden="false" customHeight="false" outlineLevel="0" collapsed="false">
      <c r="A31" s="0" t="str">
        <f aca="false">'US Raw Data'!A31</f>
        <v>2004-Q4</v>
      </c>
      <c r="B31" s="11" t="n">
        <f aca="false">'US Raw Data'!C31/'US Raw Data'!B31*100</f>
        <v>16.715288810425</v>
      </c>
      <c r="C31" s="11" t="n">
        <f aca="false">('US Raw Data'!D31-'US Raw Data'!E31)/'US Raw Data'!B31*100</f>
        <v>17.2238136907376</v>
      </c>
      <c r="D31" s="11" t="n">
        <f aca="false">C31</f>
        <v>17.2238136907376</v>
      </c>
      <c r="E31" s="10" t="n">
        <f aca="false">'US Raw Data'!E31</f>
        <v>318.386</v>
      </c>
      <c r="F31" s="11" t="n">
        <f aca="false">'US Raw Data'!E31/(('US Raw Data'!F30/100)*'US Raw Data'!B30)*100</f>
        <v>4.31472692622823</v>
      </c>
      <c r="G31" s="11" t="n">
        <f aca="false">'US Raw Data'!F30</f>
        <v>59.96643</v>
      </c>
      <c r="H31" s="11" t="n">
        <f aca="false">'US Raw Data'!E31/'US Raw Data'!B30*100</f>
        <v>2.5873877019078</v>
      </c>
    </row>
    <row r="32" customFormat="false" ht="15" hidden="false" customHeight="false" outlineLevel="0" collapsed="false">
      <c r="A32" s="0" t="str">
        <f aca="false">'US Raw Data'!A32</f>
        <v>2005-Q1</v>
      </c>
      <c r="B32" s="11" t="n">
        <f aca="false">'US Raw Data'!C32/'US Raw Data'!B32*100</f>
        <v>17.566693500874</v>
      </c>
      <c r="C32" s="11" t="n">
        <f aca="false">('US Raw Data'!D32-'US Raw Data'!E32)/'US Raw Data'!B32*100</f>
        <v>17.3773188757579</v>
      </c>
      <c r="D32" s="11" t="n">
        <f aca="false">C32</f>
        <v>17.3773188757579</v>
      </c>
      <c r="E32" s="10" t="n">
        <f aca="false">'US Raw Data'!E32</f>
        <v>329.407</v>
      </c>
      <c r="F32" s="11" t="n">
        <f aca="false">'US Raw Data'!E32/(('US Raw Data'!F31/100)*'US Raw Data'!B31)*100</f>
        <v>4.33650338504584</v>
      </c>
      <c r="G32" s="11" t="n">
        <f aca="false">'US Raw Data'!F31</f>
        <v>60.63713</v>
      </c>
      <c r="H32" s="11" t="n">
        <f aca="false">'US Raw Data'!E32/'US Raw Data'!B31*100</f>
        <v>2.62953119504464</v>
      </c>
    </row>
    <row r="33" customFormat="false" ht="15" hidden="false" customHeight="false" outlineLevel="0" collapsed="false">
      <c r="A33" s="0" t="str">
        <f aca="false">'US Raw Data'!A33</f>
        <v>2005-Q2</v>
      </c>
      <c r="B33" s="11" t="n">
        <f aca="false">'US Raw Data'!C33/'US Raw Data'!B33*100</f>
        <v>17.5815869431176</v>
      </c>
      <c r="C33" s="11" t="n">
        <f aca="false">('US Raw Data'!D33-'US Raw Data'!E33)/'US Raw Data'!B33*100</f>
        <v>17.2960109748337</v>
      </c>
      <c r="D33" s="11" t="n">
        <f aca="false">C33</f>
        <v>17.2960109748337</v>
      </c>
      <c r="E33" s="10" t="n">
        <f aca="false">'US Raw Data'!E33</f>
        <v>343.582</v>
      </c>
      <c r="F33" s="11" t="n">
        <f aca="false">'US Raw Data'!E33/(('US Raw Data'!F32/100)*'US Raw Data'!B32)*100</f>
        <v>4.41795903286271</v>
      </c>
      <c r="G33" s="11" t="n">
        <f aca="false">'US Raw Data'!F32</f>
        <v>60.91302</v>
      </c>
      <c r="H33" s="11" t="n">
        <f aca="false">'US Raw Data'!E33/'US Raw Data'!B32*100</f>
        <v>2.69111226927947</v>
      </c>
    </row>
    <row r="34" customFormat="false" ht="15" hidden="false" customHeight="false" outlineLevel="0" collapsed="false">
      <c r="A34" s="0" t="str">
        <f aca="false">'US Raw Data'!A34</f>
        <v>2005-Q3</v>
      </c>
      <c r="B34" s="11" t="n">
        <f aca="false">'US Raw Data'!C34/'US Raw Data'!B34*100</f>
        <v>17.6276505134964</v>
      </c>
      <c r="C34" s="11" t="n">
        <f aca="false">('US Raw Data'!D34-'US Raw Data'!E34)/'US Raw Data'!B34*100</f>
        <v>17.2575803251736</v>
      </c>
      <c r="D34" s="11" t="n">
        <f aca="false">C34</f>
        <v>17.2575803251736</v>
      </c>
      <c r="E34" s="10" t="n">
        <f aca="false">'US Raw Data'!E34</f>
        <v>349.228</v>
      </c>
      <c r="F34" s="11" t="n">
        <f aca="false">'US Raw Data'!E34/(('US Raw Data'!F33/100)*'US Raw Data'!B33)*100</f>
        <v>4.45643034795914</v>
      </c>
      <c r="G34" s="11" t="n">
        <f aca="false">'US Raw Data'!F33</f>
        <v>60.64153</v>
      </c>
      <c r="H34" s="11" t="n">
        <f aca="false">'US Raw Data'!E34/'US Raw Data'!B33*100</f>
        <v>2.70244754638675</v>
      </c>
    </row>
    <row r="35" customFormat="false" ht="15" hidden="false" customHeight="false" outlineLevel="0" collapsed="false">
      <c r="A35" s="0" t="str">
        <f aca="false">'US Raw Data'!A35</f>
        <v>2005-Q4</v>
      </c>
      <c r="B35" s="11" t="n">
        <f aca="false">'US Raw Data'!C35/'US Raw Data'!B35*100</f>
        <v>17.9169127101326</v>
      </c>
      <c r="C35" s="11" t="n">
        <f aca="false">('US Raw Data'!D35-'US Raw Data'!E35)/'US Raw Data'!B35*100</f>
        <v>17.2208185944916</v>
      </c>
      <c r="D35" s="11" t="n">
        <f aca="false">C35</f>
        <v>17.2208185944916</v>
      </c>
      <c r="E35" s="10" t="n">
        <f aca="false">'US Raw Data'!E35</f>
        <v>355.282</v>
      </c>
      <c r="F35" s="11" t="n">
        <f aca="false">'US Raw Data'!E35/(('US Raw Data'!F34/100)*'US Raw Data'!B34)*100</f>
        <v>4.47869674187475</v>
      </c>
      <c r="G35" s="11" t="n">
        <f aca="false">'US Raw Data'!F34</f>
        <v>60.35856</v>
      </c>
      <c r="H35" s="11" t="n">
        <f aca="false">'US Raw Data'!E35/'US Raw Data'!B34*100</f>
        <v>2.70327686016252</v>
      </c>
    </row>
    <row r="36" customFormat="false" ht="15" hidden="false" customHeight="false" outlineLevel="0" collapsed="false">
      <c r="A36" s="0" t="str">
        <f aca="false">'US Raw Data'!A36</f>
        <v>2006-Q1</v>
      </c>
      <c r="B36" s="11" t="n">
        <f aca="false">'US Raw Data'!C36/'US Raw Data'!B36*100</f>
        <v>18.2577085643525</v>
      </c>
      <c r="C36" s="11" t="n">
        <f aca="false">('US Raw Data'!D36-'US Raw Data'!E36)/'US Raw Data'!B36*100</f>
        <v>17.4273631606658</v>
      </c>
      <c r="D36" s="11" t="n">
        <f aca="false">C36</f>
        <v>17.4273631606658</v>
      </c>
      <c r="E36" s="10" t="n">
        <f aca="false">'US Raw Data'!E36</f>
        <v>358.209</v>
      </c>
      <c r="F36" s="11" t="n">
        <f aca="false">'US Raw Data'!E36/(('US Raw Data'!F35/100)*'US Raw Data'!B35)*100</f>
        <v>4.38422169888056</v>
      </c>
      <c r="G36" s="11" t="n">
        <f aca="false">'US Raw Data'!F35</f>
        <v>61.32008</v>
      </c>
      <c r="H36" s="11" t="n">
        <f aca="false">'US Raw Data'!E36/'US Raw Data'!B35*100</f>
        <v>2.68840825313092</v>
      </c>
    </row>
    <row r="37" customFormat="false" ht="15" hidden="false" customHeight="false" outlineLevel="0" collapsed="false">
      <c r="A37" s="0" t="str">
        <f aca="false">'US Raw Data'!A37</f>
        <v>2006-Q2</v>
      </c>
      <c r="B37" s="11" t="n">
        <f aca="false">'US Raw Data'!C37/'US Raw Data'!B37*100</f>
        <v>18.3118400188928</v>
      </c>
      <c r="C37" s="11" t="n">
        <f aca="false">('US Raw Data'!D37-'US Raw Data'!E37)/'US Raw Data'!B37*100</f>
        <v>17.3169241346737</v>
      </c>
      <c r="D37" s="11" t="n">
        <f aca="false">C37</f>
        <v>17.3169241346737</v>
      </c>
      <c r="E37" s="10" t="n">
        <f aca="false">'US Raw Data'!E37</f>
        <v>367.415</v>
      </c>
      <c r="F37" s="11" t="n">
        <f aca="false">'US Raw Data'!E37/(('US Raw Data'!F36/100)*'US Raw Data'!B36)*100</f>
        <v>4.38905926466873</v>
      </c>
      <c r="G37" s="11" t="n">
        <f aca="false">'US Raw Data'!F36</f>
        <v>61.55642</v>
      </c>
      <c r="H37" s="11" t="n">
        <f aca="false">'US Raw Data'!E37/'US Raw Data'!B36*100</f>
        <v>2.7017477550084</v>
      </c>
    </row>
    <row r="38" customFormat="false" ht="15" hidden="false" customHeight="false" outlineLevel="0" collapsed="false">
      <c r="A38" s="0" t="str">
        <f aca="false">'US Raw Data'!A38</f>
        <v>2006-Q3</v>
      </c>
      <c r="B38" s="11" t="n">
        <f aca="false">'US Raw Data'!C38/'US Raw Data'!B38*100</f>
        <v>18.4774784595566</v>
      </c>
      <c r="C38" s="11" t="n">
        <f aca="false">('US Raw Data'!D38-'US Raw Data'!E38)/'US Raw Data'!B38*100</f>
        <v>17.2990661698313</v>
      </c>
      <c r="D38" s="11" t="n">
        <f aca="false">C38</f>
        <v>17.2990661698313</v>
      </c>
      <c r="E38" s="10" t="n">
        <f aca="false">'US Raw Data'!E38</f>
        <v>376.299</v>
      </c>
      <c r="F38" s="11" t="n">
        <f aca="false">'US Raw Data'!E38/(('US Raw Data'!F37/100)*'US Raw Data'!B37)*100</f>
        <v>4.46908725185297</v>
      </c>
      <c r="G38" s="11" t="n">
        <f aca="false">'US Raw Data'!F37</f>
        <v>61.22142</v>
      </c>
      <c r="H38" s="11" t="n">
        <f aca="false">'US Raw Data'!E38/'US Raw Data'!B37*100</f>
        <v>2.73603867662336</v>
      </c>
    </row>
    <row r="39" customFormat="false" ht="15" hidden="false" customHeight="false" outlineLevel="0" collapsed="false">
      <c r="A39" s="0" t="str">
        <f aca="false">'US Raw Data'!A39</f>
        <v>2006-Q4</v>
      </c>
      <c r="B39" s="11" t="n">
        <f aca="false">'US Raw Data'!C39/'US Raw Data'!B39*100</f>
        <v>18.4539259065099</v>
      </c>
      <c r="C39" s="11" t="n">
        <f aca="false">('US Raw Data'!D39-'US Raw Data'!E39)/'US Raw Data'!B39*100</f>
        <v>17.1157856798931</v>
      </c>
      <c r="D39" s="11" t="n">
        <f aca="false">C39</f>
        <v>17.1157856798931</v>
      </c>
      <c r="E39" s="10" t="n">
        <f aca="false">'US Raw Data'!E39</f>
        <v>386.925</v>
      </c>
      <c r="F39" s="11" t="n">
        <f aca="false">'US Raw Data'!E39/(('US Raw Data'!F38/100)*'US Raw Data'!B38)*100</f>
        <v>4.54832669905217</v>
      </c>
      <c r="G39" s="11" t="n">
        <f aca="false">'US Raw Data'!F38</f>
        <v>61.3328</v>
      </c>
      <c r="H39" s="11" t="n">
        <f aca="false">'US Raw Data'!E39/'US Raw Data'!B38*100</f>
        <v>2.78961611767627</v>
      </c>
    </row>
    <row r="40" customFormat="false" ht="15" hidden="false" customHeight="false" outlineLevel="0" collapsed="false">
      <c r="A40" s="0" t="str">
        <f aca="false">'US Raw Data'!A40</f>
        <v>2007-Q1</v>
      </c>
      <c r="B40" s="11" t="n">
        <f aca="false">'US Raw Data'!C40/'US Raw Data'!B40*100</f>
        <v>18.7081548358214</v>
      </c>
      <c r="C40" s="11" t="n">
        <f aca="false">('US Raw Data'!D40-'US Raw Data'!E40)/'US Raw Data'!B40*100</f>
        <v>17.3985489655029</v>
      </c>
      <c r="D40" s="11" t="n">
        <f aca="false">C40</f>
        <v>17.3985489655029</v>
      </c>
      <c r="E40" s="10" t="n">
        <f aca="false">'US Raw Data'!E40</f>
        <v>396.009</v>
      </c>
      <c r="F40" s="11" t="n">
        <f aca="false">'US Raw Data'!E40/(('US Raw Data'!F39/100)*'US Raw Data'!B39)*100</f>
        <v>4.5621982926778</v>
      </c>
      <c r="G40" s="11" t="n">
        <f aca="false">'US Raw Data'!F39</f>
        <v>61.82689</v>
      </c>
      <c r="H40" s="11" t="n">
        <f aca="false">'US Raw Data'!E40/'US Raw Data'!B39*100</f>
        <v>2.82066531999578</v>
      </c>
    </row>
    <row r="41" customFormat="false" ht="15" hidden="false" customHeight="false" outlineLevel="0" collapsed="false">
      <c r="A41" s="0" t="str">
        <f aca="false">'US Raw Data'!A41</f>
        <v>2007-Q2</v>
      </c>
      <c r="B41" s="11" t="n">
        <f aca="false">'US Raw Data'!C41/'US Raw Data'!B41*100</f>
        <v>18.5681903491454</v>
      </c>
      <c r="C41" s="11" t="n">
        <f aca="false">('US Raw Data'!D41-'US Raw Data'!E41)/'US Raw Data'!B41*100</f>
        <v>17.3397707359255</v>
      </c>
      <c r="D41" s="11" t="n">
        <f aca="false">C41</f>
        <v>17.3397707359255</v>
      </c>
      <c r="E41" s="10" t="n">
        <f aca="false">'US Raw Data'!E41</f>
        <v>407.914</v>
      </c>
      <c r="F41" s="11" t="n">
        <f aca="false">'US Raw Data'!E41/(('US Raw Data'!F40/100)*'US Raw Data'!B40)*100</f>
        <v>4.609372244001</v>
      </c>
      <c r="G41" s="11" t="n">
        <f aca="false">'US Raw Data'!F40</f>
        <v>62.25297</v>
      </c>
      <c r="H41" s="11" t="n">
        <f aca="false">'US Raw Data'!E41/'US Raw Data'!B40*100</f>
        <v>2.86947112024627</v>
      </c>
    </row>
    <row r="42" customFormat="false" ht="15" hidden="false" customHeight="false" outlineLevel="0" collapsed="false">
      <c r="A42" s="0" t="str">
        <f aca="false">'US Raw Data'!A42</f>
        <v>2007-Q3</v>
      </c>
      <c r="B42" s="11" t="n">
        <f aca="false">'US Raw Data'!C42/'US Raw Data'!B42*100</f>
        <v>18.3102895973714</v>
      </c>
      <c r="C42" s="11" t="n">
        <f aca="false">('US Raw Data'!D42-'US Raw Data'!E42)/'US Raw Data'!B42*100</f>
        <v>17.3821523131131</v>
      </c>
      <c r="D42" s="11" t="n">
        <f aca="false">C42</f>
        <v>17.3821523131131</v>
      </c>
      <c r="E42" s="10" t="n">
        <f aca="false">'US Raw Data'!E42</f>
        <v>414.164</v>
      </c>
      <c r="F42" s="11" t="n">
        <f aca="false">'US Raw Data'!E42/(('US Raw Data'!F41/100)*'US Raw Data'!B41)*100</f>
        <v>4.67049021198742</v>
      </c>
      <c r="G42" s="11" t="n">
        <f aca="false">'US Raw Data'!F41</f>
        <v>61.57219</v>
      </c>
      <c r="H42" s="11" t="n">
        <f aca="false">'US Raw Data'!E42/'US Raw Data'!B41*100</f>
        <v>2.8757231072563</v>
      </c>
    </row>
    <row r="43" customFormat="false" ht="15" hidden="false" customHeight="false" outlineLevel="0" collapsed="false">
      <c r="A43" s="0" t="str">
        <f aca="false">'US Raw Data'!A43</f>
        <v>2007-Q4</v>
      </c>
      <c r="B43" s="11" t="n">
        <f aca="false">'US Raw Data'!C43/'US Raw Data'!B43*100</f>
        <v>18.1642777079098</v>
      </c>
      <c r="C43" s="11" t="n">
        <f aca="false">('US Raw Data'!D43-'US Raw Data'!E43)/'US Raw Data'!B43*100</f>
        <v>17.5190610869492</v>
      </c>
      <c r="D43" s="11" t="n">
        <f aca="false">C43</f>
        <v>17.5190610869492</v>
      </c>
      <c r="E43" s="10" t="n">
        <f aca="false">'US Raw Data'!E43</f>
        <v>413.825</v>
      </c>
      <c r="F43" s="11" t="n">
        <f aca="false">'US Raw Data'!E43/(('US Raw Data'!F42/100)*'US Raw Data'!B42)*100</f>
        <v>4.59414902360531</v>
      </c>
      <c r="G43" s="11" t="n">
        <f aca="false">'US Raw Data'!F42</f>
        <v>61.84826</v>
      </c>
      <c r="H43" s="11" t="n">
        <f aca="false">'US Raw Data'!E43/'US Raw Data'!B42*100</f>
        <v>2.84140123290688</v>
      </c>
    </row>
    <row r="44" customFormat="false" ht="15" hidden="false" customHeight="false" outlineLevel="0" collapsed="false">
      <c r="A44" s="0" t="str">
        <f aca="false">'US Raw Data'!A44</f>
        <v>2008-Q1</v>
      </c>
      <c r="B44" s="11" t="n">
        <f aca="false">'US Raw Data'!C44/'US Raw Data'!B44*100</f>
        <v>17.9440531823329</v>
      </c>
      <c r="C44" s="11" t="n">
        <f aca="false">('US Raw Data'!D44-'US Raw Data'!E44)/'US Raw Data'!B44*100</f>
        <v>17.9515328488595</v>
      </c>
      <c r="D44" s="11" t="n">
        <f aca="false">C44</f>
        <v>17.9515328488595</v>
      </c>
      <c r="E44" s="10" t="n">
        <f aca="false">'US Raw Data'!E44</f>
        <v>403.473</v>
      </c>
      <c r="F44" s="11" t="n">
        <f aca="false">'US Raw Data'!E44/(('US Raw Data'!F43/100)*'US Raw Data'!B43)*100</f>
        <v>4.37171369495156</v>
      </c>
      <c r="G44" s="11" t="n">
        <f aca="false">'US Raw Data'!F43</f>
        <v>62.71924</v>
      </c>
      <c r="H44" s="11" t="n">
        <f aca="false">'US Raw Data'!E44/'US Raw Data'!B43*100</f>
        <v>2.74190560444954</v>
      </c>
    </row>
    <row r="45" customFormat="false" ht="15" hidden="false" customHeight="false" outlineLevel="0" collapsed="false">
      <c r="A45" s="0" t="str">
        <f aca="false">'US Raw Data'!A45</f>
        <v>2008-Q2</v>
      </c>
      <c r="B45" s="11" t="n">
        <f aca="false">'US Raw Data'!C45/'US Raw Data'!B45*100</f>
        <v>17.6312304411343</v>
      </c>
      <c r="C45" s="11" t="n">
        <f aca="false">('US Raw Data'!D45-'US Raw Data'!E45)/'US Raw Data'!B45*100</f>
        <v>20.2419045021826</v>
      </c>
      <c r="D45" s="11" t="n">
        <f aca="false">C45</f>
        <v>20.2419045021826</v>
      </c>
      <c r="E45" s="10" t="n">
        <f aca="false">'US Raw Data'!E45</f>
        <v>388.351</v>
      </c>
      <c r="F45" s="11" t="n">
        <f aca="false">'US Raw Data'!E45/(('US Raw Data'!F44/100)*'US Raw Data'!B44)*100</f>
        <v>4.11493637709049</v>
      </c>
      <c r="G45" s="11" t="n">
        <f aca="false">'US Raw Data'!F44</f>
        <v>64.17278</v>
      </c>
      <c r="H45" s="11" t="n">
        <f aca="false">'US Raw Data'!E45/'US Raw Data'!B44*100</f>
        <v>2.64066906841025</v>
      </c>
    </row>
    <row r="46" customFormat="false" ht="15" hidden="false" customHeight="false" outlineLevel="0" collapsed="false">
      <c r="A46" s="0" t="str">
        <f aca="false">'US Raw Data'!A46</f>
        <v>2008-Q3</v>
      </c>
      <c r="B46" s="11" t="n">
        <f aca="false">'US Raw Data'!C46/'US Raw Data'!B46*100</f>
        <v>17.2801541902245</v>
      </c>
      <c r="C46" s="11" t="n">
        <f aca="false">('US Raw Data'!D46-'US Raw Data'!E46)/'US Raw Data'!B46*100</f>
        <v>18.8734692847486</v>
      </c>
      <c r="D46" s="11" t="n">
        <f aca="false">C46</f>
        <v>18.8734692847486</v>
      </c>
      <c r="E46" s="10" t="n">
        <f aca="false">'US Raw Data'!E46</f>
        <v>382.152</v>
      </c>
      <c r="F46" s="11" t="n">
        <f aca="false">'US Raw Data'!E46/(('US Raw Data'!F45/100)*'US Raw Data'!B45)*100</f>
        <v>4.02604053258476</v>
      </c>
      <c r="G46" s="11" t="n">
        <f aca="false">'US Raw Data'!F45</f>
        <v>63.85172</v>
      </c>
      <c r="H46" s="11" t="n">
        <f aca="false">'US Raw Data'!E46/'US Raw Data'!B45*100</f>
        <v>2.57069612795253</v>
      </c>
    </row>
    <row r="47" customFormat="false" ht="15" hidden="false" customHeight="false" outlineLevel="0" collapsed="false">
      <c r="A47" s="0" t="str">
        <f aca="false">'US Raw Data'!A47</f>
        <v>2008-Q4</v>
      </c>
      <c r="B47" s="11" t="n">
        <f aca="false">'US Raw Data'!C47/'US Raw Data'!B47*100</f>
        <v>17.0703814547013</v>
      </c>
      <c r="C47" s="11" t="n">
        <f aca="false">('US Raw Data'!D47-'US Raw Data'!E47)/'US Raw Data'!B47*100</f>
        <v>19.2580212947391</v>
      </c>
      <c r="D47" s="11" t="n">
        <f aca="false">C47</f>
        <v>19.2580212947391</v>
      </c>
      <c r="E47" s="10" t="n">
        <f aca="false">'US Raw Data'!E47</f>
        <v>379.614</v>
      </c>
      <c r="F47" s="11" t="n">
        <f aca="false">'US Raw Data'!E47/(('US Raw Data'!F46/100)*'US Raw Data'!B46)*100</f>
        <v>3.78677740807832</v>
      </c>
      <c r="G47" s="11" t="n">
        <f aca="false">'US Raw Data'!F46</f>
        <v>67.28455</v>
      </c>
      <c r="H47" s="11" t="n">
        <f aca="false">'US Raw Data'!E47/'US Raw Data'!B46*100</f>
        <v>2.54791613852716</v>
      </c>
    </row>
    <row r="48" customFormat="false" ht="15" hidden="false" customHeight="false" outlineLevel="0" collapsed="false">
      <c r="A48" s="0" t="str">
        <f aca="false">'US Raw Data'!A48</f>
        <v>2009-Q1</v>
      </c>
      <c r="B48" s="11" t="n">
        <f aca="false">'US Raw Data'!C48/'US Raw Data'!B48*100</f>
        <v>15.4005896512914</v>
      </c>
      <c r="C48" s="11" t="n">
        <f aca="false">('US Raw Data'!D48-'US Raw Data'!E48)/'US Raw Data'!B48*100</f>
        <v>20.5177611212383</v>
      </c>
      <c r="D48" s="11" t="n">
        <f aca="false">C48</f>
        <v>20.5177611212383</v>
      </c>
      <c r="E48" s="10" t="n">
        <f aca="false">'US Raw Data'!E48</f>
        <v>361.869</v>
      </c>
      <c r="F48" s="11" t="n">
        <f aca="false">'US Raw Data'!E48/(('US Raw Data'!F47/100)*'US Raw Data'!B47)*100</f>
        <v>3.38201503409349</v>
      </c>
      <c r="G48" s="11" t="n">
        <f aca="false">'US Raw Data'!F47</f>
        <v>73.24515</v>
      </c>
      <c r="H48" s="11" t="n">
        <f aca="false">'US Raw Data'!E48/'US Raw Data'!B47*100</f>
        <v>2.47716198474433</v>
      </c>
    </row>
    <row r="49" customFormat="false" ht="15" hidden="false" customHeight="false" outlineLevel="0" collapsed="false">
      <c r="A49" s="0" t="str">
        <f aca="false">'US Raw Data'!A49</f>
        <v>2009-Q2</v>
      </c>
      <c r="B49" s="11" t="n">
        <f aca="false">'US Raw Data'!C49/'US Raw Data'!B49*100</f>
        <v>15.4633718548253</v>
      </c>
      <c r="C49" s="11" t="n">
        <f aca="false">('US Raw Data'!D49-'US Raw Data'!E49)/'US Raw Data'!B49*100</f>
        <v>22.0602526792551</v>
      </c>
      <c r="D49" s="11" t="n">
        <f aca="false">C49</f>
        <v>22.0602526792551</v>
      </c>
      <c r="E49" s="10" t="n">
        <f aca="false">'US Raw Data'!E49</f>
        <v>352.134</v>
      </c>
      <c r="F49" s="11" t="n">
        <f aca="false">'US Raw Data'!E49/(('US Raw Data'!F48/100)*'US Raw Data'!B48)*100</f>
        <v>3.16469722634599</v>
      </c>
      <c r="G49" s="11" t="n">
        <f aca="false">'US Raw Data'!F48</f>
        <v>77.10496</v>
      </c>
      <c r="H49" s="11" t="n">
        <f aca="false">'US Raw Data'!E49/'US Raw Data'!B48*100</f>
        <v>2.44013853049518</v>
      </c>
    </row>
    <row r="50" customFormat="false" ht="15" hidden="false" customHeight="false" outlineLevel="0" collapsed="false">
      <c r="A50" s="0" t="str">
        <f aca="false">'US Raw Data'!A50</f>
        <v>2009-Q3</v>
      </c>
      <c r="B50" s="11" t="n">
        <f aca="false">'US Raw Data'!C50/'US Raw Data'!B50*100</f>
        <v>15.4025827050148</v>
      </c>
      <c r="C50" s="11" t="n">
        <f aca="false">('US Raw Data'!D50-'US Raw Data'!E50)/'US Raw Data'!B50*100</f>
        <v>22.0265208062465</v>
      </c>
      <c r="D50" s="11" t="n">
        <f aca="false">C50</f>
        <v>22.0265208062465</v>
      </c>
      <c r="E50" s="10" t="n">
        <f aca="false">'US Raw Data'!E50</f>
        <v>350.317</v>
      </c>
      <c r="F50" s="11" t="n">
        <f aca="false">'US Raw Data'!E50/(('US Raw Data'!F49/100)*'US Raw Data'!B49)*100</f>
        <v>3.03428893051697</v>
      </c>
      <c r="G50" s="11" t="n">
        <f aca="false">'US Raw Data'!F49</f>
        <v>80.28013</v>
      </c>
      <c r="H50" s="11" t="n">
        <f aca="false">'US Raw Data'!E50/'US Raw Data'!B49*100</f>
        <v>2.43593109799464</v>
      </c>
    </row>
    <row r="51" customFormat="false" ht="15" hidden="false" customHeight="false" outlineLevel="0" collapsed="false">
      <c r="A51" s="0" t="str">
        <f aca="false">'US Raw Data'!A51</f>
        <v>2009-Q4</v>
      </c>
      <c r="B51" s="11" t="n">
        <f aca="false">'US Raw Data'!C51/'US Raw Data'!B51*100</f>
        <v>15.6743769763247</v>
      </c>
      <c r="C51" s="11" t="n">
        <f aca="false">('US Raw Data'!D51-'US Raw Data'!E51)/'US Raw Data'!B51*100</f>
        <v>21.8876083533902</v>
      </c>
      <c r="D51" s="11" t="n">
        <f aca="false">C51</f>
        <v>21.8876083533902</v>
      </c>
      <c r="E51" s="10" t="n">
        <f aca="false">'US Raw Data'!E51</f>
        <v>353.811</v>
      </c>
      <c r="F51" s="11" t="n">
        <f aca="false">'US Raw Data'!E51/(('US Raw Data'!F50/100)*'US Raw Data'!B50)*100</f>
        <v>2.97074828010409</v>
      </c>
      <c r="G51" s="11" t="n">
        <f aca="false">'US Raw Data'!F50</f>
        <v>82.42733</v>
      </c>
      <c r="H51" s="11" t="n">
        <f aca="false">'US Raw Data'!E51/'US Raw Data'!B50*100</f>
        <v>2.44870848831072</v>
      </c>
    </row>
    <row r="52" customFormat="false" ht="15" hidden="false" customHeight="false" outlineLevel="0" collapsed="false">
      <c r="A52" s="0" t="str">
        <f aca="false">'US Raw Data'!A52</f>
        <v>2010-Q1</v>
      </c>
      <c r="B52" s="11" t="n">
        <f aca="false">'US Raw Data'!C52/'US Raw Data'!B52*100</f>
        <v>16.0256992903978</v>
      </c>
      <c r="C52" s="11" t="n">
        <f aca="false">('US Raw Data'!D52-'US Raw Data'!E52)/'US Raw Data'!B52*100</f>
        <v>22.6913545295135</v>
      </c>
      <c r="D52" s="11" t="n">
        <f aca="false">C52</f>
        <v>22.6913545295135</v>
      </c>
      <c r="E52" s="10" t="n">
        <f aca="false">'US Raw Data'!E52</f>
        <v>360.258</v>
      </c>
      <c r="F52" s="11" t="n">
        <f aca="false">'US Raw Data'!E52/(('US Raw Data'!F51/100)*'US Raw Data'!B51)*100</f>
        <v>2.92622677803254</v>
      </c>
      <c r="G52" s="11" t="n">
        <f aca="false">'US Raw Data'!F51</f>
        <v>84.02935</v>
      </c>
      <c r="H52" s="11" t="n">
        <f aca="false">'US Raw Data'!E52/'US Raw Data'!B51*100</f>
        <v>2.45888934110669</v>
      </c>
    </row>
    <row r="53" customFormat="false" ht="15" hidden="false" customHeight="false" outlineLevel="0" collapsed="false">
      <c r="A53" s="0" t="str">
        <f aca="false">'US Raw Data'!A53</f>
        <v>2010-Q2</v>
      </c>
      <c r="B53" s="11" t="n">
        <f aca="false">'US Raw Data'!C53/'US Raw Data'!B53*100</f>
        <v>16.1591576290105</v>
      </c>
      <c r="C53" s="11" t="n">
        <f aca="false">('US Raw Data'!D53-'US Raw Data'!E53)/'US Raw Data'!B53*100</f>
        <v>22.488234964663</v>
      </c>
      <c r="D53" s="11" t="n">
        <f aca="false">C53</f>
        <v>22.488234964663</v>
      </c>
      <c r="E53" s="10" t="n">
        <f aca="false">'US Raw Data'!E53</f>
        <v>376.93</v>
      </c>
      <c r="F53" s="11" t="n">
        <f aca="false">'US Raw Data'!E53/(('US Raw Data'!F52/100)*'US Raw Data'!B52)*100</f>
        <v>2.95096207090841</v>
      </c>
      <c r="G53" s="11" t="n">
        <f aca="false">'US Raw Data'!F52</f>
        <v>86.51175</v>
      </c>
      <c r="H53" s="11" t="n">
        <f aca="false">'US Raw Data'!E53/'US Raw Data'!B52*100</f>
        <v>2.5529289293791</v>
      </c>
    </row>
    <row r="54" customFormat="false" ht="15" hidden="false" customHeight="false" outlineLevel="0" collapsed="false">
      <c r="A54" s="0" t="str">
        <f aca="false">'US Raw Data'!A54</f>
        <v>2010-Q3</v>
      </c>
      <c r="B54" s="11" t="n">
        <f aca="false">'US Raw Data'!C54/'US Raw Data'!B54*100</f>
        <v>16.4004388701939</v>
      </c>
      <c r="C54" s="11" t="n">
        <f aca="false">('US Raw Data'!D54-'US Raw Data'!E54)/'US Raw Data'!B54*100</f>
        <v>22.4757583524655</v>
      </c>
      <c r="D54" s="11" t="n">
        <f aca="false">C54</f>
        <v>22.4757583524655</v>
      </c>
      <c r="E54" s="10" t="n">
        <f aca="false">'US Raw Data'!E54</f>
        <v>389.247</v>
      </c>
      <c r="F54" s="11" t="n">
        <f aca="false">'US Raw Data'!E54/(('US Raw Data'!F53/100)*'US Raw Data'!B53)*100</f>
        <v>2.94844054131975</v>
      </c>
      <c r="G54" s="11" t="n">
        <f aca="false">'US Raw Data'!F53</f>
        <v>88.12832</v>
      </c>
      <c r="H54" s="11" t="n">
        <f aca="false">'US Raw Data'!E54/'US Raw Data'!B53*100</f>
        <v>2.598411115264</v>
      </c>
    </row>
    <row r="55" customFormat="false" ht="15" hidden="false" customHeight="false" outlineLevel="0" collapsed="false">
      <c r="A55" s="0" t="str">
        <f aca="false">'US Raw Data'!A55</f>
        <v>2010-Q4</v>
      </c>
      <c r="B55" s="11" t="n">
        <f aca="false">'US Raw Data'!C55/'US Raw Data'!B55*100</f>
        <v>16.4274879724803</v>
      </c>
      <c r="C55" s="11" t="n">
        <f aca="false">('US Raw Data'!D55-'US Raw Data'!E55)/'US Raw Data'!B55*100</f>
        <v>22.2756836714312</v>
      </c>
      <c r="D55" s="11" t="n">
        <f aca="false">C55</f>
        <v>22.2756836714312</v>
      </c>
      <c r="E55" s="10" t="n">
        <f aca="false">'US Raw Data'!E55</f>
        <v>399.514</v>
      </c>
      <c r="F55" s="11" t="n">
        <f aca="false">'US Raw Data'!E55/(('US Raw Data'!F54/100)*'US Raw Data'!B54)*100</f>
        <v>2.94591590298249</v>
      </c>
      <c r="G55" s="11" t="n">
        <f aca="false">'US Raw Data'!F54</f>
        <v>89.56528</v>
      </c>
      <c r="H55" s="11" t="n">
        <f aca="false">'US Raw Data'!E55/'US Raw Data'!B54*100</f>
        <v>2.6385178270708</v>
      </c>
    </row>
    <row r="56" customFormat="false" ht="15" hidden="false" customHeight="false" outlineLevel="0" collapsed="false">
      <c r="A56" s="0" t="str">
        <f aca="false">'US Raw Data'!A56</f>
        <v>2011-Q1</v>
      </c>
      <c r="B56" s="11" t="n">
        <f aca="false">'US Raw Data'!C56/'US Raw Data'!B56*100</f>
        <v>16.7206051181621</v>
      </c>
      <c r="C56" s="11" t="n">
        <f aca="false">('US Raw Data'!D56-'US Raw Data'!E56)/'US Raw Data'!B56*100</f>
        <v>22.1507313186352</v>
      </c>
      <c r="D56" s="11" t="n">
        <f aca="false">C56</f>
        <v>22.1507313186352</v>
      </c>
      <c r="E56" s="10" t="n">
        <f aca="false">'US Raw Data'!E56</f>
        <v>410.805</v>
      </c>
      <c r="F56" s="11" t="n">
        <f aca="false">'US Raw Data'!E56/(('US Raw Data'!F55/100)*'US Raw Data'!B55)*100</f>
        <v>2.92904615820445</v>
      </c>
      <c r="G56" s="11" t="n">
        <f aca="false">'US Raw Data'!F55</f>
        <v>91.61134</v>
      </c>
      <c r="H56" s="11" t="n">
        <f aca="false">'US Raw Data'!E56/'US Raw Data'!B55*100</f>
        <v>2.68333843474962</v>
      </c>
    </row>
    <row r="57" customFormat="false" ht="15" hidden="false" customHeight="false" outlineLevel="0" collapsed="false">
      <c r="A57" s="0" t="str">
        <f aca="false">'US Raw Data'!A57</f>
        <v>2011-Q2</v>
      </c>
      <c r="B57" s="11" t="n">
        <f aca="false">'US Raw Data'!C57/'US Raw Data'!B57*100</f>
        <v>16.5512810220177</v>
      </c>
      <c r="C57" s="11" t="n">
        <f aca="false">('US Raw Data'!D57-'US Raw Data'!E57)/'US Raw Data'!B57*100</f>
        <v>22.0111291380983</v>
      </c>
      <c r="D57" s="11" t="n">
        <f aca="false">C57</f>
        <v>22.0111291380983</v>
      </c>
      <c r="E57" s="10" t="n">
        <f aca="false">'US Raw Data'!E57</f>
        <v>424.987</v>
      </c>
      <c r="F57" s="11" t="n">
        <f aca="false">'US Raw Data'!E57/(('US Raw Data'!F56/100)*'US Raw Data'!B56)*100</f>
        <v>2.97816131701876</v>
      </c>
      <c r="G57" s="11" t="n">
        <f aca="false">'US Raw Data'!F56</f>
        <v>92.95614</v>
      </c>
      <c r="H57" s="11" t="n">
        <f aca="false">'US Raw Data'!E57/'US Raw Data'!B56*100</f>
        <v>2.7683838032738</v>
      </c>
    </row>
    <row r="58" customFormat="false" ht="15" hidden="false" customHeight="false" outlineLevel="0" collapsed="false">
      <c r="A58" s="0" t="str">
        <f aca="false">'US Raw Data'!A58</f>
        <v>2011-Q3</v>
      </c>
      <c r="B58" s="11" t="n">
        <f aca="false">'US Raw Data'!C58/'US Raw Data'!B58*100</f>
        <v>16.3945901245424</v>
      </c>
      <c r="C58" s="11" t="n">
        <f aca="false">('US Raw Data'!D58-'US Raw Data'!E58)/'US Raw Data'!B58*100</f>
        <v>21.4166445121577</v>
      </c>
      <c r="D58" s="11" t="n">
        <f aca="false">C58</f>
        <v>21.4166445121577</v>
      </c>
      <c r="E58" s="10" t="n">
        <f aca="false">'US Raw Data'!E58</f>
        <v>432.625</v>
      </c>
      <c r="F58" s="11" t="n">
        <f aca="false">'US Raw Data'!E58/(('US Raw Data'!F57/100)*'US Raw Data'!B57)*100</f>
        <v>3.01626155081985</v>
      </c>
      <c r="G58" s="11" t="n">
        <f aca="false">'US Raw Data'!F57</f>
        <v>92.1938</v>
      </c>
      <c r="H58" s="11" t="n">
        <f aca="false">'US Raw Data'!E58/'US Raw Data'!B57*100</f>
        <v>2.78080614163975</v>
      </c>
    </row>
    <row r="59" customFormat="false" ht="15" hidden="false" customHeight="false" outlineLevel="0" collapsed="false">
      <c r="A59" s="0" t="str">
        <f aca="false">'US Raw Data'!A59</f>
        <v>2011-Q4</v>
      </c>
      <c r="B59" s="11" t="n">
        <f aca="false">'US Raw Data'!C59/'US Raw Data'!B59*100</f>
        <v>16.3312504864363</v>
      </c>
      <c r="C59" s="11" t="n">
        <f aca="false">('US Raw Data'!D59-'US Raw Data'!E59)/'US Raw Data'!B59*100</f>
        <v>21.1660344651606</v>
      </c>
      <c r="D59" s="11" t="n">
        <f aca="false">C59</f>
        <v>21.1660344651606</v>
      </c>
      <c r="E59" s="10" t="n">
        <f aca="false">'US Raw Data'!E59</f>
        <v>433.35</v>
      </c>
      <c r="F59" s="11" t="n">
        <f aca="false">'US Raw Data'!E59/(('US Raw Data'!F58/100)*'US Raw Data'!B58)*100</f>
        <v>2.92995283300176</v>
      </c>
      <c r="G59" s="11" t="n">
        <f aca="false">'US Raw Data'!F58</f>
        <v>94.52098</v>
      </c>
      <c r="H59" s="11" t="n">
        <f aca="false">'US Raw Data'!E59/'US Raw Data'!B58*100</f>
        <v>2.76942013129103</v>
      </c>
    </row>
    <row r="60" customFormat="false" ht="15" hidden="false" customHeight="false" outlineLevel="0" collapsed="false">
      <c r="A60" s="0" t="str">
        <f aca="false">'US Raw Data'!A60</f>
        <v>2012-Q1</v>
      </c>
      <c r="B60" s="11" t="n">
        <f aca="false">'US Raw Data'!C60/'US Raw Data'!B60*100</f>
        <v>16.5783889965682</v>
      </c>
      <c r="C60" s="11" t="n">
        <f aca="false">('US Raw Data'!D60-'US Raw Data'!E60)/'US Raw Data'!B60*100</f>
        <v>20.8229610104796</v>
      </c>
      <c r="D60" s="11" t="n">
        <f aca="false">C60</f>
        <v>20.8229610104796</v>
      </c>
      <c r="E60" s="10" t="n">
        <f aca="false">'US Raw Data'!E60</f>
        <v>428.343</v>
      </c>
      <c r="F60" s="11" t="n">
        <f aca="false">'US Raw Data'!E60/(('US Raw Data'!F59/100)*'US Raw Data'!B59)*100</f>
        <v>2.81379930060839</v>
      </c>
      <c r="G60" s="11" t="n">
        <f aca="false">'US Raw Data'!F59</f>
        <v>96.09072</v>
      </c>
      <c r="H60" s="11" t="n">
        <f aca="false">'US Raw Data'!E60/'US Raw Data'!B59*100</f>
        <v>2.70380000730956</v>
      </c>
    </row>
    <row r="61" customFormat="false" ht="15" hidden="false" customHeight="false" outlineLevel="0" collapsed="false">
      <c r="A61" s="0" t="str">
        <f aca="false">'US Raw Data'!A61</f>
        <v>2012-Q2</v>
      </c>
      <c r="B61" s="11" t="n">
        <f aca="false">'US Raw Data'!C61/'US Raw Data'!B61*100</f>
        <v>16.5343862865168</v>
      </c>
      <c r="C61" s="11" t="n">
        <f aca="false">('US Raw Data'!D61-'US Raw Data'!E61)/'US Raw Data'!B61*100</f>
        <v>20.6608147100826</v>
      </c>
      <c r="D61" s="11" t="n">
        <f aca="false">C61</f>
        <v>20.6608147100826</v>
      </c>
      <c r="E61" s="10" t="n">
        <f aca="false">'US Raw Data'!E61</f>
        <v>424.345</v>
      </c>
      <c r="F61" s="11" t="n">
        <f aca="false">'US Raw Data'!E61/(('US Raw Data'!F60/100)*'US Raw Data'!B60)*100</f>
        <v>2.71902413392913</v>
      </c>
      <c r="G61" s="11" t="n">
        <f aca="false">'US Raw Data'!F60</f>
        <v>97.12308</v>
      </c>
      <c r="H61" s="11" t="n">
        <f aca="false">'US Raw Data'!E61/'US Raw Data'!B60*100</f>
        <v>2.6407999848153</v>
      </c>
    </row>
    <row r="62" customFormat="false" ht="15" hidden="false" customHeight="false" outlineLevel="0" collapsed="false">
      <c r="A62" s="0" t="str">
        <f aca="false">'US Raw Data'!A62</f>
        <v>2012-Q3</v>
      </c>
      <c r="B62" s="11" t="n">
        <f aca="false">'US Raw Data'!C62/'US Raw Data'!B62*100</f>
        <v>16.4867075611992</v>
      </c>
      <c r="C62" s="11" t="n">
        <f aca="false">('US Raw Data'!D62-'US Raw Data'!E62)/'US Raw Data'!B62*100</f>
        <v>20.5662953388211</v>
      </c>
      <c r="D62" s="11" t="n">
        <f aca="false">C62</f>
        <v>20.5662953388211</v>
      </c>
      <c r="E62" s="10" t="n">
        <f aca="false">'US Raw Data'!E62</f>
        <v>420.974</v>
      </c>
      <c r="F62" s="11" t="n">
        <f aca="false">'US Raw Data'!E62/(('US Raw Data'!F61/100)*'US Raw Data'!B61)*100</f>
        <v>2.6551436832677</v>
      </c>
      <c r="G62" s="11" t="n">
        <f aca="false">'US Raw Data'!F61</f>
        <v>97.82763</v>
      </c>
      <c r="H62" s="11" t="n">
        <f aca="false">'US Raw Data'!E62/'US Raw Data'!B61*100</f>
        <v>2.5974641384355</v>
      </c>
    </row>
    <row r="63" customFormat="false" ht="15" hidden="false" customHeight="false" outlineLevel="0" collapsed="false">
      <c r="A63" s="0" t="str">
        <f aca="false">'US Raw Data'!A63</f>
        <v>2012-Q4</v>
      </c>
      <c r="B63" s="11" t="n">
        <f aca="false">'US Raw Data'!C63/'US Raw Data'!B63*100</f>
        <v>16.8632603102272</v>
      </c>
      <c r="C63" s="11" t="n">
        <f aca="false">('US Raw Data'!D63-'US Raw Data'!E63)/'US Raw Data'!B63*100</f>
        <v>20.4176823989692</v>
      </c>
      <c r="D63" s="11" t="n">
        <f aca="false">C63</f>
        <v>20.4176823989692</v>
      </c>
      <c r="E63" s="10" t="n">
        <f aca="false">'US Raw Data'!E63</f>
        <v>416.834</v>
      </c>
      <c r="F63" s="11" t="n">
        <f aca="false">'US Raw Data'!E63/(('US Raw Data'!F62/100)*'US Raw Data'!B62)*100</f>
        <v>2.59447130637229</v>
      </c>
      <c r="G63" s="11" t="n">
        <f aca="false">'US Raw Data'!F62</f>
        <v>98.44787</v>
      </c>
      <c r="H63" s="11" t="n">
        <f aca="false">'US Raw Data'!E63/'US Raw Data'!B62*100</f>
        <v>2.55420173888469</v>
      </c>
    </row>
    <row r="64" customFormat="false" ht="15" hidden="false" customHeight="false" outlineLevel="0" collapsed="false">
      <c r="A64" s="0" t="str">
        <f aca="false">'US Raw Data'!A64</f>
        <v>2013-Q1</v>
      </c>
      <c r="B64" s="11" t="n">
        <f aca="false">'US Raw Data'!C64/'US Raw Data'!B64*100</f>
        <v>17.9271030620808</v>
      </c>
      <c r="C64" s="11" t="n">
        <f aca="false">('US Raw Data'!D64-'US Raw Data'!E64)/'US Raw Data'!B64*100</f>
        <v>20.108769788714</v>
      </c>
      <c r="D64" s="11" t="n">
        <f aca="false">C64</f>
        <v>20.108769788714</v>
      </c>
      <c r="E64" s="10" t="n">
        <f aca="false">'US Raw Data'!E64</f>
        <v>411.052</v>
      </c>
      <c r="F64" s="11" t="n">
        <f aca="false">'US Raw Data'!E64/(('US Raw Data'!F63/100)*'US Raw Data'!B63)*100</f>
        <v>2.50142255915844</v>
      </c>
      <c r="G64" s="11" t="n">
        <f aca="false">'US Raw Data'!F63</f>
        <v>100.07497</v>
      </c>
      <c r="H64" s="11" t="n">
        <f aca="false">'US Raw Data'!E64/'US Raw Data'!B63*100</f>
        <v>2.50329787565104</v>
      </c>
    </row>
    <row r="65" customFormat="false" ht="15" hidden="false" customHeight="false" outlineLevel="0" collapsed="false">
      <c r="A65" s="0" t="str">
        <f aca="false">'US Raw Data'!A65</f>
        <v>2013-Q2</v>
      </c>
      <c r="B65" s="11" t="n">
        <f aca="false">'US Raw Data'!C65/'US Raw Data'!B65*100</f>
        <v>19.3962981075562</v>
      </c>
      <c r="C65" s="11" t="n">
        <f aca="false">('US Raw Data'!D65-'US Raw Data'!E65)/'US Raw Data'!B65*100</f>
        <v>20.106341878475</v>
      </c>
      <c r="D65" s="11" t="n">
        <f aca="false">C65</f>
        <v>20.106341878475</v>
      </c>
      <c r="E65" s="10" t="n">
        <f aca="false">'US Raw Data'!E65</f>
        <v>412.508</v>
      </c>
      <c r="F65" s="11" t="n">
        <f aca="false">'US Raw Data'!E65/(('US Raw Data'!F64/100)*'US Raw Data'!B64)*100</f>
        <v>2.45959476882954</v>
      </c>
      <c r="G65" s="11" t="n">
        <f aca="false">'US Raw Data'!F64</f>
        <v>100.73997</v>
      </c>
      <c r="H65" s="11" t="n">
        <f aca="false">'US Raw Data'!E65/'US Raw Data'!B64*100</f>
        <v>2.47779503224044</v>
      </c>
    </row>
    <row r="66" customFormat="false" ht="15" hidden="false" customHeight="false" outlineLevel="0" collapsed="false">
      <c r="A66" s="0" t="str">
        <f aca="false">'US Raw Data'!A66</f>
        <v>2013-Q3</v>
      </c>
      <c r="B66" s="11" t="n">
        <f aca="false">'US Raw Data'!C66/'US Raw Data'!B66*100</f>
        <v>18.1099347534169</v>
      </c>
      <c r="C66" s="11" t="n">
        <f aca="false">('US Raw Data'!D66-'US Raw Data'!E66)/'US Raw Data'!B66*100</f>
        <v>19.8007200493481</v>
      </c>
      <c r="D66" s="11" t="n">
        <f aca="false">C66</f>
        <v>19.8007200493481</v>
      </c>
      <c r="E66" s="10" t="n">
        <f aca="false">'US Raw Data'!E66</f>
        <v>416.742</v>
      </c>
      <c r="F66" s="11" t="n">
        <f aca="false">'US Raw Data'!E66/(('US Raw Data'!F65/100)*'US Raw Data'!B65)*100</f>
        <v>2.48974816759905</v>
      </c>
      <c r="G66" s="11" t="n">
        <f aca="false">'US Raw Data'!F65</f>
        <v>100.05758</v>
      </c>
      <c r="H66" s="11" t="n">
        <f aca="false">'US Raw Data'!E66/'US Raw Data'!B65*100</f>
        <v>2.49118176459396</v>
      </c>
    </row>
    <row r="67" customFormat="false" ht="15" hidden="false" customHeight="false" outlineLevel="0" collapsed="false">
      <c r="A67" s="0" t="str">
        <f aca="false">'US Raw Data'!A67</f>
        <v>2013-Q4</v>
      </c>
      <c r="B67" s="11" t="n">
        <f aca="false">'US Raw Data'!C67/'US Raw Data'!B67*100</f>
        <v>18.8789053804559</v>
      </c>
      <c r="C67" s="11" t="n">
        <f aca="false">('US Raw Data'!D67-'US Raw Data'!E67)/'US Raw Data'!B67*100</f>
        <v>19.4710231532434</v>
      </c>
      <c r="D67" s="11" t="n">
        <f aca="false">C67</f>
        <v>19.4710231532434</v>
      </c>
      <c r="E67" s="10" t="n">
        <f aca="false">'US Raw Data'!E67</f>
        <v>425.001</v>
      </c>
      <c r="F67" s="11" t="n">
        <f aca="false">'US Raw Data'!E67/(('US Raw Data'!F66/100)*'US Raw Data'!B66)*100</f>
        <v>2.53911116740786</v>
      </c>
      <c r="G67" s="11" t="n">
        <f aca="false">'US Raw Data'!F66</f>
        <v>98.72797</v>
      </c>
      <c r="H67" s="11" t="n">
        <f aca="false">'US Raw Data'!E67/'US Raw Data'!B66*100</f>
        <v>2.50681291162508</v>
      </c>
    </row>
    <row r="68" customFormat="false" ht="15" hidden="false" customHeight="false" outlineLevel="0" collapsed="false">
      <c r="A68" s="0" t="str">
        <f aca="false">'US Raw Data'!A68</f>
        <v>2014-Q1</v>
      </c>
      <c r="B68" s="11" t="n">
        <f aca="false">'US Raw Data'!C68/'US Raw Data'!B68*100</f>
        <v>18.9724834742802</v>
      </c>
      <c r="C68" s="11" t="n">
        <f aca="false">('US Raw Data'!D68-'US Raw Data'!E68)/'US Raw Data'!B68*100</f>
        <v>19.6970671375503</v>
      </c>
      <c r="D68" s="11" t="n">
        <f aca="false">C68</f>
        <v>19.6970671375503</v>
      </c>
      <c r="E68" s="10" t="n">
        <f aca="false">'US Raw Data'!E68</f>
        <v>431.952</v>
      </c>
      <c r="F68" s="11" t="n">
        <f aca="false">'US Raw Data'!E68/(('US Raw Data'!F67/100)*'US Raw Data'!B67)*100</f>
        <v>2.51777228531917</v>
      </c>
      <c r="G68" s="11" t="n">
        <f aca="false">'US Raw Data'!F67</f>
        <v>99.79118</v>
      </c>
      <c r="H68" s="11" t="n">
        <f aca="false">'US Raw Data'!E68/'US Raw Data'!B67*100</f>
        <v>2.51251467323297</v>
      </c>
    </row>
    <row r="69" customFormat="false" ht="15" hidden="false" customHeight="false" outlineLevel="0" collapsed="false">
      <c r="A69" s="0" t="str">
        <f aca="false">'US Raw Data'!A69</f>
        <v>2014-Q2</v>
      </c>
      <c r="B69" s="11" t="n">
        <f aca="false">'US Raw Data'!C69/'US Raw Data'!B69*100</f>
        <v>18.8134229239157</v>
      </c>
      <c r="C69" s="11" t="n">
        <f aca="false">('US Raw Data'!D69-'US Raw Data'!E69)/'US Raw Data'!B69*100</f>
        <v>19.613799303</v>
      </c>
      <c r="D69" s="11" t="n">
        <f aca="false">C69</f>
        <v>19.613799303</v>
      </c>
      <c r="E69" s="10" t="n">
        <f aca="false">'US Raw Data'!E69</f>
        <v>440.027</v>
      </c>
      <c r="F69" s="11" t="n">
        <f aca="false">'US Raw Data'!E69/(('US Raw Data'!F68/100)*'US Raw Data'!B68)*100</f>
        <v>2.49997923871423</v>
      </c>
      <c r="G69" s="11" t="n">
        <f aca="false">'US Raw Data'!F68</f>
        <v>102.34617</v>
      </c>
      <c r="H69" s="11" t="n">
        <f aca="false">'US Raw Data'!E69/'US Raw Data'!B68*100</f>
        <v>2.55863300161917</v>
      </c>
    </row>
    <row r="70" customFormat="false" ht="15" hidden="false" customHeight="false" outlineLevel="0" collapsed="false">
      <c r="A70" s="0" t="str">
        <f aca="false">'US Raw Data'!A70</f>
        <v>2014-Q3</v>
      </c>
      <c r="B70" s="11" t="n">
        <f aca="false">'US Raw Data'!C70/'US Raw Data'!B70*100</f>
        <v>18.5556936251322</v>
      </c>
      <c r="C70" s="11" t="n">
        <f aca="false">('US Raw Data'!D70-'US Raw Data'!E70)/'US Raw Data'!B70*100</f>
        <v>19.5993670716866</v>
      </c>
      <c r="D70" s="11" t="n">
        <f aca="false">C70</f>
        <v>19.5993670716866</v>
      </c>
      <c r="E70" s="10" t="n">
        <f aca="false">'US Raw Data'!E70</f>
        <v>442.107</v>
      </c>
      <c r="F70" s="11" t="n">
        <f aca="false">'US Raw Data'!E70/(('US Raw Data'!F69/100)*'US Raw Data'!B69)*100</f>
        <v>2.5073264776164</v>
      </c>
      <c r="G70" s="11" t="n">
        <f aca="false">'US Raw Data'!F69</f>
        <v>100.6513</v>
      </c>
      <c r="H70" s="11" t="n">
        <f aca="false">'US Raw Data'!E70/'US Raw Data'!B69*100</f>
        <v>2.52365669496512</v>
      </c>
    </row>
    <row r="71" customFormat="false" ht="15" hidden="false" customHeight="false" outlineLevel="0" collapsed="false">
      <c r="A71" s="0" t="str">
        <f aca="false">'US Raw Data'!A71</f>
        <v>2014-Q4</v>
      </c>
      <c r="B71" s="11" t="n">
        <f aca="false">'US Raw Data'!C71/'US Raw Data'!B71*100</f>
        <v>18.5087281046494</v>
      </c>
      <c r="C71" s="11" t="n">
        <f aca="false">('US Raw Data'!D71-'US Raw Data'!E71)/'US Raw Data'!B71*100</f>
        <v>19.4526163043385</v>
      </c>
      <c r="D71" s="11" t="n">
        <f aca="false">C71</f>
        <v>19.4526163043385</v>
      </c>
      <c r="E71" s="10" t="n">
        <f aca="false">'US Raw Data'!E71</f>
        <v>442.283</v>
      </c>
      <c r="F71" s="11" t="n">
        <f aca="false">'US Raw Data'!E71/(('US Raw Data'!F70/100)*'US Raw Data'!B70)*100</f>
        <v>2.48138040216719</v>
      </c>
      <c r="G71" s="11" t="n">
        <f aca="false">'US Raw Data'!F70</f>
        <v>100.11145</v>
      </c>
      <c r="H71" s="11" t="n">
        <f aca="false">'US Raw Data'!E71/'US Raw Data'!B70*100</f>
        <v>2.4841459006254</v>
      </c>
    </row>
    <row r="72" customFormat="false" ht="15" hidden="false" customHeight="false" outlineLevel="0" collapsed="false">
      <c r="A72" s="0" t="str">
        <f aca="false">'US Raw Data'!A72</f>
        <v>2015-Q1</v>
      </c>
      <c r="B72" s="11" t="n">
        <f aca="false">'US Raw Data'!C72/'US Raw Data'!B72*100</f>
        <v>18.775561519568</v>
      </c>
      <c r="C72" s="11" t="n">
        <f aca="false">('US Raw Data'!D72-'US Raw Data'!E72)/'US Raw Data'!B72*100</f>
        <v>19.6059197513398</v>
      </c>
      <c r="D72" s="11" t="n">
        <f aca="false">C72</f>
        <v>19.6059197513398</v>
      </c>
      <c r="E72" s="10" t="n">
        <f aca="false">'US Raw Data'!E72</f>
        <v>428.689</v>
      </c>
      <c r="F72" s="11" t="n">
        <f aca="false">'US Raw Data'!E72/(('US Raw Data'!F71/100)*'US Raw Data'!B71)*100</f>
        <v>2.36303692018957</v>
      </c>
      <c r="G72" s="11" t="n">
        <f aca="false">'US Raw Data'!F71</f>
        <v>101.2805</v>
      </c>
      <c r="H72" s="11" t="n">
        <f aca="false">'US Raw Data'!E72/'US Raw Data'!B71*100</f>
        <v>2.3932956079526</v>
      </c>
    </row>
    <row r="73" customFormat="false" ht="15" hidden="false" customHeight="false" outlineLevel="0" collapsed="false">
      <c r="A73" s="0" t="str">
        <f aca="false">'US Raw Data'!A73</f>
        <v>2015-Q2</v>
      </c>
      <c r="B73" s="11" t="n">
        <f aca="false">'US Raw Data'!C73/'US Raw Data'!B73*100</f>
        <v>18.8481494092053</v>
      </c>
      <c r="C73" s="11" t="n">
        <f aca="false">('US Raw Data'!D73-'US Raw Data'!E73)/'US Raw Data'!B73*100</f>
        <v>19.5018770462496</v>
      </c>
      <c r="D73" s="11" t="n">
        <f aca="false">C73</f>
        <v>19.5018770462496</v>
      </c>
      <c r="E73" s="10" t="n">
        <f aca="false">'US Raw Data'!E73</f>
        <v>425.877</v>
      </c>
      <c r="F73" s="11" t="n">
        <f aca="false">'US Raw Data'!E73/(('US Raw Data'!F72/100)*'US Raw Data'!B72)*100</f>
        <v>2.34616391175238</v>
      </c>
      <c r="G73" s="11" t="n">
        <f aca="false">'US Raw Data'!F72</f>
        <v>100.49009</v>
      </c>
      <c r="H73" s="11" t="n">
        <f aca="false">'US Raw Data'!E73/'US Raw Data'!B72*100</f>
        <v>2.35766222646749</v>
      </c>
    </row>
    <row r="74" customFormat="false" ht="15" hidden="false" customHeight="false" outlineLevel="0" collapsed="false">
      <c r="A74" s="0" t="str">
        <f aca="false">'US Raw Data'!A74</f>
        <v>2015-Q3</v>
      </c>
      <c r="B74" s="11" t="n">
        <f aca="false">'US Raw Data'!C74/'US Raw Data'!B74*100</f>
        <v>18.7302089500134</v>
      </c>
      <c r="C74" s="11" t="n">
        <f aca="false">('US Raw Data'!D74-'US Raw Data'!E74)/'US Raw Data'!B74*100</f>
        <v>19.4766973309859</v>
      </c>
      <c r="D74" s="11" t="n">
        <f aca="false">C74</f>
        <v>19.4766973309859</v>
      </c>
      <c r="E74" s="10" t="n">
        <f aca="false">'US Raw Data'!E74</f>
        <v>427.881</v>
      </c>
      <c r="F74" s="11" t="n">
        <f aca="false">'US Raw Data'!E74/(('US Raw Data'!F73/100)*'US Raw Data'!B73)*100</f>
        <v>2.35721167174638</v>
      </c>
      <c r="G74" s="11" t="n">
        <f aca="false">'US Raw Data'!F73</f>
        <v>99.30094</v>
      </c>
      <c r="H74" s="11" t="n">
        <f aca="false">'US Raw Data'!E74/'US Raw Data'!B73*100</f>
        <v>2.34073334783387</v>
      </c>
    </row>
    <row r="75" customFormat="false" ht="15" hidden="false" customHeight="false" outlineLevel="0" collapsed="false">
      <c r="A75" s="0" t="str">
        <f aca="false">'US Raw Data'!A75</f>
        <v>2015-Q4</v>
      </c>
      <c r="B75" s="11" t="n">
        <f aca="false">'US Raw Data'!C75/'US Raw Data'!B75*100</f>
        <v>19.0394570976066</v>
      </c>
      <c r="C75" s="11" t="n">
        <f aca="false">('US Raw Data'!D75-'US Raw Data'!E75)/'US Raw Data'!B75*100</f>
        <v>19.6132038508854</v>
      </c>
      <c r="D75" s="11" t="n">
        <f aca="false">C75</f>
        <v>19.6132038508854</v>
      </c>
      <c r="E75" s="10" t="n">
        <f aca="false">'US Raw Data'!E75</f>
        <v>434.682</v>
      </c>
      <c r="F75" s="11" t="n">
        <f aca="false">'US Raw Data'!E75/(('US Raw Data'!F74/100)*'US Raw Data'!B74)*100</f>
        <v>2.39486052286906</v>
      </c>
      <c r="G75" s="11" t="n">
        <f aca="false">'US Raw Data'!F74</f>
        <v>98.63595</v>
      </c>
      <c r="H75" s="11" t="n">
        <f aca="false">'US Raw Data'!E75/'US Raw Data'!B74*100</f>
        <v>2.36219342790686</v>
      </c>
    </row>
    <row r="76" customFormat="false" ht="15" hidden="false" customHeight="false" outlineLevel="0" collapsed="false">
      <c r="A76" s="0" t="str">
        <f aca="false">'US Raw Data'!A76</f>
        <v>2016-Q1</v>
      </c>
      <c r="B76" s="11" t="n">
        <f aca="false">'US Raw Data'!C76/'US Raw Data'!B76*100</f>
        <v>18.5984209270324</v>
      </c>
      <c r="C76" s="11" t="n">
        <f aca="false">('US Raw Data'!D76-'US Raw Data'!E76)/'US Raw Data'!B76*100</f>
        <v>19.6376992187114</v>
      </c>
      <c r="D76" s="11" t="n">
        <f aca="false">C76</f>
        <v>19.6376992187114</v>
      </c>
      <c r="E76" s="10" t="n">
        <f aca="false">'US Raw Data'!E76</f>
        <v>446.225</v>
      </c>
      <c r="F76" s="11" t="n">
        <f aca="false">'US Raw Data'!E76/(('US Raw Data'!F75/100)*'US Raw Data'!B75)*100</f>
        <v>2.35821154691845</v>
      </c>
      <c r="G76" s="11" t="n">
        <f aca="false">'US Raw Data'!F75</f>
        <v>102.64192</v>
      </c>
      <c r="H76" s="11" t="n">
        <f aca="false">'US Raw Data'!E76/'US Raw Data'!B75*100</f>
        <v>2.4205136094188</v>
      </c>
    </row>
    <row r="77" customFormat="false" ht="15" hidden="false" customHeight="false" outlineLevel="0" collapsed="false">
      <c r="A77" s="0" t="str">
        <f aca="false">'US Raw Data'!A77</f>
        <v>2016-Q2</v>
      </c>
      <c r="B77" s="11" t="n">
        <f aca="false">'US Raw Data'!C77/'US Raw Data'!B77*100</f>
        <v>18.4220815402041</v>
      </c>
      <c r="C77" s="11" t="n">
        <f aca="false">('US Raw Data'!D77-'US Raw Data'!E77)/'US Raw Data'!B77*100</f>
        <v>19.4977239376728</v>
      </c>
      <c r="D77" s="11" t="n">
        <f aca="false">C77</f>
        <v>19.4977239376728</v>
      </c>
      <c r="E77" s="10" t="n">
        <f aca="false">'US Raw Data'!E77</f>
        <v>453.291</v>
      </c>
      <c r="F77" s="11" t="n">
        <f aca="false">'US Raw Data'!E77/(('US Raw Data'!F76/100)*'US Raw Data'!B76)*100</f>
        <v>2.35293233654826</v>
      </c>
      <c r="G77" s="11" t="n">
        <f aca="false">'US Raw Data'!F76</f>
        <v>103.98904</v>
      </c>
      <c r="H77" s="11" t="n">
        <f aca="false">'US Raw Data'!E77/'US Raw Data'!B76*100</f>
        <v>2.4467917486261</v>
      </c>
    </row>
    <row r="78" customFormat="false" ht="15" hidden="false" customHeight="false" outlineLevel="0" collapsed="false">
      <c r="A78" s="0" t="str">
        <f aca="false">'US Raw Data'!A78</f>
        <v>2016-Q3</v>
      </c>
      <c r="B78" s="11" t="n">
        <f aca="false">'US Raw Data'!C78/'US Raw Data'!B78*100</f>
        <v>18.3602248473599</v>
      </c>
      <c r="C78" s="11" t="n">
        <f aca="false">('US Raw Data'!D78-'US Raw Data'!E78)/'US Raw Data'!B78*100</f>
        <v>19.5472215395636</v>
      </c>
      <c r="D78" s="11" t="n">
        <f aca="false">C78</f>
        <v>19.5472215395636</v>
      </c>
      <c r="E78" s="10" t="n">
        <f aca="false">'US Raw Data'!E78</f>
        <v>457.514</v>
      </c>
      <c r="F78" s="11" t="n">
        <f aca="false">'US Raw Data'!E78/(('US Raw Data'!F77/100)*'US Raw Data'!B77)*100</f>
        <v>2.36055965075387</v>
      </c>
      <c r="G78" s="11" t="n">
        <f aca="false">'US Raw Data'!F77</f>
        <v>103.58005</v>
      </c>
      <c r="H78" s="11" t="n">
        <f aca="false">'US Raw Data'!E78/'US Raw Data'!B77*100</f>
        <v>2.44506886653069</v>
      </c>
    </row>
    <row r="79" customFormat="false" ht="15" hidden="false" customHeight="false" outlineLevel="0" collapsed="false">
      <c r="A79" s="0" t="str">
        <f aca="false">'US Raw Data'!A79</f>
        <v>2016-Q4</v>
      </c>
      <c r="B79" s="11" t="n">
        <f aca="false">'US Raw Data'!C79/'US Raw Data'!B79*100</f>
        <v>18.2370678480426</v>
      </c>
      <c r="C79" s="11" t="n">
        <f aca="false">('US Raw Data'!D79-'US Raw Data'!E79)/'US Raw Data'!B79*100</f>
        <v>19.4625293992015</v>
      </c>
      <c r="D79" s="11" t="n">
        <f aca="false">C79</f>
        <v>19.4625293992015</v>
      </c>
      <c r="E79" s="10" t="n">
        <f aca="false">'US Raw Data'!E79</f>
        <v>460.184</v>
      </c>
      <c r="F79" s="11" t="n">
        <f aca="false">'US Raw Data'!E79/(('US Raw Data'!F78/100)*'US Raw Data'!B78)*100</f>
        <v>2.35106291828128</v>
      </c>
      <c r="G79" s="11" t="n">
        <f aca="false">'US Raw Data'!F78</f>
        <v>103.60355</v>
      </c>
      <c r="H79" s="11" t="n">
        <f aca="false">'US Raw Data'!E79/'US Raw Data'!B78*100</f>
        <v>2.435784646073</v>
      </c>
    </row>
    <row r="80" customFormat="false" ht="15" hidden="false" customHeight="false" outlineLevel="0" collapsed="false">
      <c r="A80" s="0" t="str">
        <f aca="false">'US Raw Data'!A80</f>
        <v>2017-Q1</v>
      </c>
      <c r="B80" s="11" t="n">
        <f aca="false">'US Raw Data'!C80/'US Raw Data'!B80*100</f>
        <v>18.0610416427646</v>
      </c>
      <c r="C80" s="11" t="n">
        <f aca="false">('US Raw Data'!D80-'US Raw Data'!E80)/'US Raw Data'!B80*100</f>
        <v>19.3546511519348</v>
      </c>
      <c r="D80" s="11" t="n">
        <f aca="false">C80</f>
        <v>19.3546511519348</v>
      </c>
      <c r="E80" s="10" t="n">
        <f aca="false">'US Raw Data'!E80</f>
        <v>460.669</v>
      </c>
      <c r="F80" s="11" t="n">
        <f aca="false">'US Raw Data'!E80/(('US Raw Data'!F79/100)*'US Raw Data'!B79)*100</f>
        <v>2.30601686075497</v>
      </c>
      <c r="G80" s="11" t="n">
        <f aca="false">'US Raw Data'!F79</f>
        <v>104.64891</v>
      </c>
      <c r="H80" s="11" t="n">
        <f aca="false">'US Raw Data'!E80/'US Raw Data'!B79*100</f>
        <v>2.41322150919629</v>
      </c>
    </row>
    <row r="81" customFormat="false" ht="15" hidden="false" customHeight="false" outlineLevel="0" collapsed="false">
      <c r="A81" s="0" t="str">
        <f aca="false">'US Raw Data'!A81</f>
        <v>2017-Q2</v>
      </c>
      <c r="B81" s="11" t="n">
        <f aca="false">'US Raw Data'!C81/'US Raw Data'!B81*100</f>
        <v>17.8394602956595</v>
      </c>
      <c r="C81" s="11" t="n">
        <f aca="false">('US Raw Data'!D81-'US Raw Data'!E81)/'US Raw Data'!B81*100</f>
        <v>19.1594392674427</v>
      </c>
      <c r="D81" s="11" t="n">
        <f aca="false">C81</f>
        <v>19.1594392674427</v>
      </c>
      <c r="E81" s="10" t="n">
        <f aca="false">'US Raw Data'!E81</f>
        <v>471.214</v>
      </c>
      <c r="F81" s="11" t="n">
        <f aca="false">'US Raw Data'!E81/(('US Raw Data'!F80/100)*'US Raw Data'!B80)*100</f>
        <v>2.37430237293426</v>
      </c>
      <c r="G81" s="11" t="n">
        <f aca="false">'US Raw Data'!F80</f>
        <v>102.93741</v>
      </c>
      <c r="H81" s="11" t="n">
        <f aca="false">'US Raw Data'!E81/'US Raw Data'!B80*100</f>
        <v>2.44404536826707</v>
      </c>
    </row>
    <row r="82" customFormat="false" ht="15" hidden="false" customHeight="false" outlineLevel="0" collapsed="false">
      <c r="A82" s="0" t="str">
        <f aca="false">'US Raw Data'!A82</f>
        <v>2017-Q3</v>
      </c>
      <c r="B82" s="11" t="n">
        <f aca="false">'US Raw Data'!C82/'US Raw Data'!B82*100</f>
        <v>17.8350237741649</v>
      </c>
      <c r="C82" s="11" t="n">
        <f aca="false">('US Raw Data'!D82-'US Raw Data'!E82)/'US Raw Data'!B82*100</f>
        <v>19.1570892510611</v>
      </c>
      <c r="D82" s="11" t="n">
        <f aca="false">C82</f>
        <v>19.1570892510611</v>
      </c>
      <c r="E82" s="10" t="n">
        <f aca="false">'US Raw Data'!E82</f>
        <v>481.457</v>
      </c>
      <c r="F82" s="11" t="n">
        <f aca="false">'US Raw Data'!E82/(('US Raw Data'!F81/100)*'US Raw Data'!B81)*100</f>
        <v>2.42614158970222</v>
      </c>
      <c r="G82" s="11" t="n">
        <f aca="false">'US Raw Data'!F81</f>
        <v>102.08817</v>
      </c>
      <c r="H82" s="11" t="n">
        <f aca="false">'US Raw Data'!E82/'US Raw Data'!B81*100</f>
        <v>2.47680355053591</v>
      </c>
    </row>
    <row r="83" customFormat="false" ht="15" hidden="false" customHeight="false" outlineLevel="0" collapsed="false">
      <c r="A83" s="0" t="str">
        <f aca="false">'US Raw Data'!A83</f>
        <v>2017-Q4</v>
      </c>
      <c r="B83" s="11" t="n">
        <f aca="false">'US Raw Data'!C83/'US Raw Data'!B83*100</f>
        <v>17.7315086902847</v>
      </c>
      <c r="C83" s="11" t="n">
        <f aca="false">('US Raw Data'!D83-'US Raw Data'!E83)/'US Raw Data'!B83*100</f>
        <v>19.09929227241</v>
      </c>
      <c r="D83" s="11" t="n">
        <f aca="false">C83</f>
        <v>19.09929227241</v>
      </c>
      <c r="E83" s="10" t="n">
        <f aca="false">'US Raw Data'!E83</f>
        <v>493.441</v>
      </c>
      <c r="F83" s="11" t="n">
        <f aca="false">'US Raw Data'!E83/(('US Raw Data'!F82/100)*'US Raw Data'!B82)*100</f>
        <v>2.43735960149199</v>
      </c>
      <c r="G83" s="11" t="n">
        <f aca="false">'US Raw Data'!F82</f>
        <v>102.80463</v>
      </c>
      <c r="H83" s="11" t="n">
        <f aca="false">'US Raw Data'!E83/'US Raw Data'!B82*100</f>
        <v>2.50571852008331</v>
      </c>
    </row>
    <row r="84" customFormat="false" ht="15" hidden="false" customHeight="false" outlineLevel="0" collapsed="false">
      <c r="A84" s="0" t="str">
        <f aca="false">'US Raw Data'!A84</f>
        <v>2018-Q1</v>
      </c>
      <c r="B84" s="11" t="n">
        <f aca="false">'US Raw Data'!C84/'US Raw Data'!B84*100</f>
        <v>17.2871379482839</v>
      </c>
      <c r="C84" s="11" t="n">
        <f aca="false">('US Raw Data'!D84-'US Raw Data'!E84)/'US Raw Data'!B84*100</f>
        <v>19.139985025004</v>
      </c>
      <c r="D84" s="11" t="n">
        <f aca="false">C84</f>
        <v>19.139985025004</v>
      </c>
      <c r="E84" s="10" t="n">
        <f aca="false">'US Raw Data'!E84</f>
        <v>507.619</v>
      </c>
      <c r="F84" s="11" t="n">
        <f aca="false">'US Raw Data'!E84/(('US Raw Data'!F83/100)*'US Raw Data'!B83)*100</f>
        <v>2.47706659250928</v>
      </c>
      <c r="G84" s="11" t="n">
        <f aca="false">'US Raw Data'!F83</f>
        <v>102.27408</v>
      </c>
      <c r="H84" s="11" t="n">
        <f aca="false">'US Raw Data'!E84/'US Raw Data'!B83*100</f>
        <v>2.53339706847622</v>
      </c>
    </row>
    <row r="85" customFormat="false" ht="15" hidden="false" customHeight="false" outlineLevel="0" collapsed="false">
      <c r="A85" s="0" t="str">
        <f aca="false">'US Raw Data'!A85</f>
        <v>2018-Q2</v>
      </c>
      <c r="B85" s="11" t="n">
        <f aca="false">'US Raw Data'!C85/'US Raw Data'!B85*100</f>
        <v>17.2622185061576</v>
      </c>
      <c r="C85" s="11" t="n">
        <f aca="false">('US Raw Data'!D85-'US Raw Data'!E85)/'US Raw Data'!B85*100</f>
        <v>19.056517028983</v>
      </c>
      <c r="D85" s="11" t="n">
        <f aca="false">C85</f>
        <v>19.056517028983</v>
      </c>
      <c r="E85" s="10" t="n">
        <f aca="false">'US Raw Data'!E85</f>
        <v>531.778</v>
      </c>
      <c r="F85" s="11" t="n">
        <f aca="false">'US Raw Data'!E85/(('US Raw Data'!F84/100)*'US Raw Data'!B84)*100</f>
        <v>2.52151247090288</v>
      </c>
      <c r="G85" s="11" t="n">
        <f aca="false">'US Raw Data'!F84</f>
        <v>103.74395</v>
      </c>
      <c r="H85" s="11" t="n">
        <f aca="false">'US Raw Data'!E85/'US Raw Data'!B84*100</f>
        <v>2.61591663705725</v>
      </c>
    </row>
    <row r="86" customFormat="false" ht="15" hidden="false" customHeight="false" outlineLevel="0" collapsed="false">
      <c r="A86" s="0" t="str">
        <f aca="false">'US Raw Data'!A86</f>
        <v>2018-Q3</v>
      </c>
      <c r="B86" s="11" t="n">
        <f aca="false">'US Raw Data'!C86/'US Raw Data'!B86*100</f>
        <v>17.4646000020194</v>
      </c>
      <c r="C86" s="11" t="n">
        <f aca="false">('US Raw Data'!D86-'US Raw Data'!E86)/'US Raw Data'!B86*100</f>
        <v>19.04122992125</v>
      </c>
      <c r="D86" s="11" t="n">
        <f aca="false">C86</f>
        <v>19.04122992125</v>
      </c>
      <c r="E86" s="10" t="n">
        <f aca="false">'US Raw Data'!E86</f>
        <v>551.891</v>
      </c>
      <c r="F86" s="11" t="n">
        <f aca="false">'US Raw Data'!E86/(('US Raw Data'!F85/100)*'US Raw Data'!B85)*100</f>
        <v>2.60386507171921</v>
      </c>
      <c r="G86" s="11" t="n">
        <f aca="false">'US Raw Data'!F85</f>
        <v>102.98411</v>
      </c>
      <c r="H86" s="11" t="n">
        <f aca="false">'US Raw Data'!E86/'US Raw Data'!B85*100</f>
        <v>2.68156726971089</v>
      </c>
    </row>
    <row r="87" customFormat="false" ht="15" hidden="false" customHeight="false" outlineLevel="0" collapsed="false">
      <c r="A87" s="0" t="str">
        <f aca="false">'US Raw Data'!A87</f>
        <v>2018-Q4</v>
      </c>
      <c r="B87" s="11" t="n">
        <f aca="false">'US Raw Data'!C87/'US Raw Data'!B87*100</f>
        <v>17.3680041086407</v>
      </c>
      <c r="C87" s="11" t="n">
        <f aca="false">('US Raw Data'!D87-'US Raw Data'!E87)/'US Raw Data'!B87*100</f>
        <v>19.228432803402</v>
      </c>
      <c r="D87" s="11" t="n">
        <f aca="false">C87</f>
        <v>19.228432803402</v>
      </c>
      <c r="E87" s="10" t="n">
        <f aca="false">'US Raw Data'!E87</f>
        <v>571.229</v>
      </c>
      <c r="F87" s="11" t="n">
        <f aca="false">'US Raw Data'!E87/(('US Raw Data'!F86/100)*'US Raw Data'!B86)*100</f>
        <v>2.65489624519846</v>
      </c>
      <c r="G87" s="11" t="n">
        <f aca="false">'US Raw Data'!F86</f>
        <v>103.4489</v>
      </c>
      <c r="H87" s="11" t="n">
        <f aca="false">'US Raw Data'!E87/'US Raw Data'!B86*100</f>
        <v>2.74646096179911</v>
      </c>
    </row>
    <row r="88" customFormat="false" ht="15" hidden="false" customHeight="false" outlineLevel="0" collapsed="false">
      <c r="A88" s="0" t="str">
        <f aca="false">'US Raw Data'!A88</f>
        <v>2019-Q1</v>
      </c>
      <c r="B88" s="11" t="n">
        <f aca="false">'US Raw Data'!C88/'US Raw Data'!B88*100</f>
        <v>17.3001951533754</v>
      </c>
      <c r="C88" s="11" t="n">
        <f aca="false">('US Raw Data'!D88-'US Raw Data'!E88)/'US Raw Data'!B88*100</f>
        <v>19.4598372458743</v>
      </c>
      <c r="D88" s="11" t="n">
        <f aca="false">C88</f>
        <v>19.4598372458743</v>
      </c>
      <c r="E88" s="10" t="n">
        <f aca="false">'US Raw Data'!E88</f>
        <v>579.714</v>
      </c>
      <c r="F88" s="11" t="n">
        <f aca="false">'US Raw Data'!E88/(('US Raw Data'!F87/100)*'US Raw Data'!B87)*100</f>
        <v>2.63816997741409</v>
      </c>
      <c r="G88" s="11" t="n">
        <f aca="false">'US Raw Data'!F87</f>
        <v>105.04941</v>
      </c>
      <c r="H88" s="11" t="n">
        <f aca="false">'US Raw Data'!E88/'US Raw Data'!B87*100</f>
        <v>2.77138199607063</v>
      </c>
    </row>
    <row r="89" customFormat="false" ht="15" hidden="false" customHeight="false" outlineLevel="0" collapsed="false">
      <c r="A89" s="0" t="str">
        <f aca="false">'US Raw Data'!A89</f>
        <v>2019-Q2</v>
      </c>
      <c r="B89" s="11" t="n">
        <f aca="false">'US Raw Data'!C89/'US Raw Data'!B89*100</f>
        <v>17.1956662366252</v>
      </c>
      <c r="C89" s="11" t="n">
        <f aca="false">('US Raw Data'!D89-'US Raw Data'!E89)/'US Raw Data'!B89*100</f>
        <v>19.3875736998584</v>
      </c>
      <c r="D89" s="11" t="n">
        <f aca="false">C89</f>
        <v>19.3875736998584</v>
      </c>
      <c r="E89" s="10" t="n">
        <f aca="false">'US Raw Data'!E89</f>
        <v>586.409</v>
      </c>
      <c r="F89" s="11" t="n">
        <f aca="false">'US Raw Data'!E89/(('US Raw Data'!F88/100)*'US Raw Data'!B88)*100</f>
        <v>2.66212190117102</v>
      </c>
      <c r="G89" s="11" t="n">
        <f aca="false">'US Raw Data'!F88</f>
        <v>104.34017</v>
      </c>
      <c r="H89" s="11" t="n">
        <f aca="false">'US Raw Data'!E89/'US Raw Data'!B88*100</f>
        <v>2.77766251728907</v>
      </c>
    </row>
    <row r="90" customFormat="false" ht="15" hidden="false" customHeight="false" outlineLevel="0" collapsed="false">
      <c r="A90" s="0" t="str">
        <f aca="false">'US Raw Data'!A90</f>
        <v>2019-Q3</v>
      </c>
      <c r="B90" s="11" t="n">
        <f aca="false">'US Raw Data'!C90/'US Raw Data'!B90*100</f>
        <v>17.0767822383496</v>
      </c>
      <c r="C90" s="11" t="n">
        <f aca="false">('US Raw Data'!D90-'US Raw Data'!E90)/'US Raw Data'!B90*100</f>
        <v>19.3165675216169</v>
      </c>
      <c r="D90" s="11" t="n">
        <f aca="false">C90</f>
        <v>19.3165675216169</v>
      </c>
      <c r="E90" s="10" t="n">
        <f aca="false">'US Raw Data'!E90</f>
        <v>578.256</v>
      </c>
      <c r="F90" s="11" t="n">
        <f aca="false">'US Raw Data'!E90/(('US Raw Data'!F89/100)*'US Raw Data'!B89)*100</f>
        <v>2.62565769704019</v>
      </c>
      <c r="G90" s="11" t="n">
        <f aca="false">'US Raw Data'!F89</f>
        <v>102.92245</v>
      </c>
      <c r="H90" s="11" t="n">
        <f aca="false">'US Raw Data'!E90/'US Raw Data'!B89*100</f>
        <v>2.70239123040734</v>
      </c>
    </row>
    <row r="91" customFormat="false" ht="15" hidden="false" customHeight="false" outlineLevel="0" collapsed="false">
      <c r="A91" s="0" t="str">
        <f aca="false">'US Raw Data'!A91</f>
        <v>2019-Q4</v>
      </c>
      <c r="B91" s="11" t="n">
        <f aca="false">'US Raw Data'!C91/'US Raw Data'!B91*100</f>
        <v>17.219817776845</v>
      </c>
      <c r="C91" s="11" t="n">
        <f aca="false">('US Raw Data'!D91-'US Raw Data'!E91)/'US Raw Data'!B91*100</f>
        <v>19.2950856228706</v>
      </c>
      <c r="D91" s="11" t="n">
        <f aca="false">C91</f>
        <v>19.2950856228706</v>
      </c>
      <c r="E91" s="10" t="n">
        <f aca="false">'US Raw Data'!E91</f>
        <v>564.241</v>
      </c>
      <c r="F91" s="11" t="n">
        <f aca="false">'US Raw Data'!E91/(('US Raw Data'!F90/100)*'US Raw Data'!B90)*100</f>
        <v>2.48352057483101</v>
      </c>
      <c r="G91" s="11" t="n">
        <f aca="false">'US Raw Data'!F90</f>
        <v>104.61492</v>
      </c>
      <c r="H91" s="11" t="n">
        <f aca="false">'US Raw Data'!E91/'US Raw Data'!B90*100</f>
        <v>2.598133062543</v>
      </c>
    </row>
    <row r="92" customFormat="false" ht="15" hidden="false" customHeight="false" outlineLevel="0" collapsed="false">
      <c r="A92" s="0" t="str">
        <f aca="false">'US Raw Data'!A92</f>
        <v>2020-Q1</v>
      </c>
      <c r="B92" s="11" t="n">
        <f aca="false">'US Raw Data'!C92/'US Raw Data'!B92*100</f>
        <v>17.4298952546977</v>
      </c>
      <c r="C92" s="11" t="n">
        <f aca="false">('US Raw Data'!D92-'US Raw Data'!E92)/'US Raw Data'!B92*100</f>
        <v>19.8724366861325</v>
      </c>
      <c r="D92" s="11" t="n">
        <f aca="false">C92</f>
        <v>19.8724366861325</v>
      </c>
      <c r="E92" s="10" t="n">
        <f aca="false">'US Raw Data'!E92</f>
        <v>544.122</v>
      </c>
      <c r="F92" s="11" t="n">
        <f aca="false">'US Raw Data'!E92/(('US Raw Data'!F91/100)*'US Raw Data'!B91)*100</f>
        <v>2.34521392283766</v>
      </c>
      <c r="G92" s="11" t="n">
        <f aca="false">'US Raw Data'!F91</f>
        <v>105.78193</v>
      </c>
      <c r="H92" s="11" t="n">
        <f aca="false">'US Raw Data'!E92/'US Raw Data'!B91*100</f>
        <v>2.48081255020638</v>
      </c>
    </row>
    <row r="93" customFormat="false" ht="15" hidden="false" customHeight="false" outlineLevel="0" collapsed="false">
      <c r="A93" s="0" t="str">
        <f aca="false">'US Raw Data'!A93</f>
        <v>2020-Q2</v>
      </c>
      <c r="B93" s="11" t="n">
        <f aca="false">'US Raw Data'!C93/'US Raw Data'!B93*100</f>
        <v>17.7094872501859</v>
      </c>
      <c r="C93" s="11" t="n">
        <f aca="false">('US Raw Data'!D93-'US Raw Data'!E93)/'US Raw Data'!B93*100</f>
        <v>41.9707078126078</v>
      </c>
      <c r="D93" s="11" t="n">
        <f aca="false">C92+(C100-C92)*0.125</f>
        <v>20.0447054966345</v>
      </c>
      <c r="E93" s="10" t="n">
        <f aca="false">'US Raw Data'!E93</f>
        <v>514.737</v>
      </c>
      <c r="F93" s="11" t="n">
        <f aca="false">'US Raw Data'!E93/(('US Raw Data'!F92/100)*'US Raw Data'!B92)*100</f>
        <v>2.21641907516052</v>
      </c>
      <c r="G93" s="11" t="n">
        <f aca="false">'US Raw Data'!F92</f>
        <v>106.77007</v>
      </c>
      <c r="H93" s="11" t="n">
        <f aca="false">'US Raw Data'!E93/'US Raw Data'!B92*100</f>
        <v>2.36647219804224</v>
      </c>
    </row>
    <row r="94" customFormat="false" ht="15" hidden="false" customHeight="false" outlineLevel="0" collapsed="false">
      <c r="A94" s="0" t="str">
        <f aca="false">'US Raw Data'!A94</f>
        <v>2020-Q3</v>
      </c>
      <c r="B94" s="11" t="n">
        <f aca="false">'US Raw Data'!C94/'US Raw Data'!B94*100</f>
        <v>17.4967680571489</v>
      </c>
      <c r="C94" s="11" t="n">
        <f aca="false">('US Raw Data'!D94-'US Raw Data'!E94)/'US Raw Data'!B94*100</f>
        <v>30.7130749348624</v>
      </c>
      <c r="D94" s="11" t="n">
        <f aca="false">C92+(C100-C92)*0.25</f>
        <v>20.2169743071365</v>
      </c>
      <c r="E94" s="10" t="n">
        <f aca="false">'US Raw Data'!E94</f>
        <v>508.011</v>
      </c>
      <c r="F94" s="11" t="n">
        <f aca="false">'US Raw Data'!E94/(('US Raw Data'!F93/100)*'US Raw Data'!B93)*100</f>
        <v>1.91867040698222</v>
      </c>
      <c r="G94" s="11" t="n">
        <f aca="false">'US Raw Data'!F93</f>
        <v>132.66287</v>
      </c>
      <c r="H94" s="11" t="n">
        <f aca="false">'US Raw Data'!E94/'US Raw Data'!B93*100</f>
        <v>2.5453632277433</v>
      </c>
    </row>
    <row r="95" customFormat="false" ht="15" hidden="false" customHeight="false" outlineLevel="0" collapsed="false">
      <c r="A95" s="0" t="str">
        <f aca="false">'US Raw Data'!A95</f>
        <v>2020-Q4</v>
      </c>
      <c r="B95" s="11" t="n">
        <f aca="false">'US Raw Data'!C95/'US Raw Data'!B95*100</f>
        <v>17.8536172147075</v>
      </c>
      <c r="C95" s="11" t="n">
        <f aca="false">('US Raw Data'!D95-'US Raw Data'!E95)/'US Raw Data'!B95*100</f>
        <v>24.5012577443184</v>
      </c>
      <c r="D95" s="11" t="n">
        <f aca="false">C92+(C100-C92)*0.375</f>
        <v>20.3892431176386</v>
      </c>
      <c r="E95" s="10" t="n">
        <f aca="false">'US Raw Data'!E95</f>
        <v>516.711</v>
      </c>
      <c r="F95" s="11" t="n">
        <f aca="false">'US Raw Data'!E95/(('US Raw Data'!F94/100)*'US Raw Data'!B94)*100</f>
        <v>1.9176230117849</v>
      </c>
      <c r="G95" s="11" t="n">
        <f aca="false">'US Raw Data'!F94</f>
        <v>124.14692</v>
      </c>
      <c r="H95" s="11" t="n">
        <f aca="false">'US Raw Data'!E95/'US Raw Data'!B94*100</f>
        <v>2.38066990634219</v>
      </c>
    </row>
    <row r="96" customFormat="false" ht="15" hidden="false" customHeight="false" outlineLevel="0" collapsed="false">
      <c r="A96" s="0" t="str">
        <f aca="false">'US Raw Data'!A96</f>
        <v>2021-Q1</v>
      </c>
      <c r="B96" s="11" t="n">
        <f aca="false">'US Raw Data'!C96/'US Raw Data'!B96*100</f>
        <v>18.2328732195264</v>
      </c>
      <c r="C96" s="11" t="n">
        <f aca="false">('US Raw Data'!D96-'US Raw Data'!E96)/'US Raw Data'!B96*100</f>
        <v>34.4468001925691</v>
      </c>
      <c r="D96" s="11" t="n">
        <f aca="false">C92+(C100-C92)*0.5</f>
        <v>20.5615119281406</v>
      </c>
      <c r="E96" s="10" t="n">
        <f aca="false">'US Raw Data'!E96</f>
        <v>533.518</v>
      </c>
      <c r="F96" s="11" t="n">
        <f aca="false">'US Raw Data'!E96/(('US Raw Data'!F95/100)*'US Raw Data'!B95)*100</f>
        <v>1.92273990932837</v>
      </c>
      <c r="G96" s="11" t="n">
        <f aca="false">'US Raw Data'!F95</f>
        <v>125.62864</v>
      </c>
      <c r="H96" s="11" t="n">
        <f aca="false">'US Raw Data'!E96/'US Raw Data'!B95*100</f>
        <v>2.41551199882647</v>
      </c>
    </row>
    <row r="97" customFormat="false" ht="15" hidden="false" customHeight="false" outlineLevel="0" collapsed="false">
      <c r="A97" s="0" t="str">
        <f aca="false">'US Raw Data'!A97</f>
        <v>2021-Q2</v>
      </c>
      <c r="B97" s="11" t="n">
        <f aca="false">'US Raw Data'!C97/'US Raw Data'!B97*100</f>
        <v>18.6495807420075</v>
      </c>
      <c r="C97" s="11" t="n">
        <f aca="false">('US Raw Data'!D97-'US Raw Data'!E97)/'US Raw Data'!B97*100</f>
        <v>30.7082670427744</v>
      </c>
      <c r="D97" s="11" t="n">
        <f aca="false">C92+(C100-C92)*0.625</f>
        <v>20.7337807386426</v>
      </c>
      <c r="E97" s="10" t="n">
        <f aca="false">'US Raw Data'!E97</f>
        <v>560.634</v>
      </c>
      <c r="F97" s="11" t="n">
        <f aca="false">'US Raw Data'!E97/(('US Raw Data'!F96/100)*'US Raw Data'!B96)*100</f>
        <v>1.99282901496855</v>
      </c>
      <c r="G97" s="11" t="n">
        <f aca="false">'US Raw Data'!F96</f>
        <v>124.03752</v>
      </c>
      <c r="H97" s="11" t="n">
        <f aca="false">'US Raw Data'!E97/'US Raw Data'!B96*100</f>
        <v>2.47185568800742</v>
      </c>
    </row>
    <row r="98" customFormat="false" ht="15" hidden="false" customHeight="false" outlineLevel="0" collapsed="false">
      <c r="A98" s="0" t="str">
        <f aca="false">'US Raw Data'!A98</f>
        <v>2021-Q3</v>
      </c>
      <c r="B98" s="11" t="n">
        <f aca="false">'US Raw Data'!C98/'US Raw Data'!B98*100</f>
        <v>18.8602640296861</v>
      </c>
      <c r="C98" s="11" t="n">
        <f aca="false">('US Raw Data'!D98-'US Raw Data'!E98)/'US Raw Data'!B98*100</f>
        <v>25.884379527152</v>
      </c>
      <c r="D98" s="11" t="n">
        <f aca="false">C92+(C100-C92)*0.75</f>
        <v>20.9060495491446</v>
      </c>
      <c r="E98" s="10" t="n">
        <f aca="false">'US Raw Data'!E98</f>
        <v>587.92</v>
      </c>
      <c r="F98" s="11" t="n">
        <f aca="false">'US Raw Data'!E98/(('US Raw Data'!F97/100)*'US Raw Data'!B97)*100</f>
        <v>2.06074872256429</v>
      </c>
      <c r="G98" s="11" t="n">
        <f aca="false">'US Raw Data'!F97</f>
        <v>121.78582</v>
      </c>
      <c r="H98" s="11" t="n">
        <f aca="false">'US Raw Data'!E98/'US Raw Data'!B97*100</f>
        <v>2.50969972991444</v>
      </c>
    </row>
    <row r="99" customFormat="false" ht="15" hidden="false" customHeight="false" outlineLevel="0" collapsed="false">
      <c r="A99" s="0" t="str">
        <f aca="false">'US Raw Data'!A99</f>
        <v>2021-Q4</v>
      </c>
      <c r="B99" s="11" t="n">
        <f aca="false">'US Raw Data'!C99/'US Raw Data'!B99*100</f>
        <v>18.897060482961</v>
      </c>
      <c r="C99" s="11" t="n">
        <f aca="false">('US Raw Data'!D99-'US Raw Data'!E99)/'US Raw Data'!B99*100</f>
        <v>22.6799980655769</v>
      </c>
      <c r="D99" s="11" t="n">
        <f aca="false">C92+(C100-C92)*0.875</f>
        <v>21.0783183596466</v>
      </c>
      <c r="E99" s="10" t="n">
        <f aca="false">'US Raw Data'!E99</f>
        <v>612.282</v>
      </c>
      <c r="F99" s="11" t="n">
        <f aca="false">'US Raw Data'!E99/(('US Raw Data'!F98/100)*'US Raw Data'!B98)*100</f>
        <v>2.15372949900687</v>
      </c>
      <c r="G99" s="11" t="n">
        <f aca="false">'US Raw Data'!F98</f>
        <v>118.54086</v>
      </c>
      <c r="H99" s="11" t="n">
        <f aca="false">'US Raw Data'!E99/'US Raw Data'!B98*100</f>
        <v>2.55304947019643</v>
      </c>
    </row>
    <row r="100" customFormat="false" ht="15" hidden="false" customHeight="false" outlineLevel="0" collapsed="false">
      <c r="A100" s="0" t="str">
        <f aca="false">'US Raw Data'!A100</f>
        <v>2022-Q1</v>
      </c>
      <c r="B100" s="11" t="n">
        <f aca="false">'US Raw Data'!C100/'US Raw Data'!B100*100</f>
        <v>20.0991772509107</v>
      </c>
      <c r="C100" s="11" t="n">
        <f aca="false">('US Raw Data'!D100-'US Raw Data'!E100)/'US Raw Data'!B100*100</f>
        <v>21.2505871701486</v>
      </c>
      <c r="D100" s="11" t="n">
        <f aca="false">C100</f>
        <v>21.2505871701486</v>
      </c>
      <c r="E100" s="10" t="n">
        <f aca="false">'US Raw Data'!E100</f>
        <v>636.968</v>
      </c>
      <c r="F100" s="11" t="n">
        <f aca="false">'US Raw Data'!E100/(('US Raw Data'!F99/100)*'US Raw Data'!B99)*100</f>
        <v>2.15066810220841</v>
      </c>
      <c r="G100" s="11" t="n">
        <f aca="false">'US Raw Data'!F99</f>
        <v>119.3588</v>
      </c>
      <c r="H100" s="11" t="n">
        <f aca="false">'US Raw Data'!E100/'US Raw Data'!B99*100</f>
        <v>2.56701163877873</v>
      </c>
    </row>
    <row r="101" customFormat="false" ht="15" hidden="false" customHeight="false" outlineLevel="0" collapsed="false">
      <c r="A101" s="0" t="str">
        <f aca="false">'US Raw Data'!A101</f>
        <v>2022-Q2</v>
      </c>
      <c r="B101" s="11" t="n">
        <f aca="false">'US Raw Data'!C101/'US Raw Data'!B101*100</f>
        <v>19.8551101004544</v>
      </c>
      <c r="C101" s="11" t="n">
        <f aca="false">('US Raw Data'!D101-'US Raw Data'!E101)/'US Raw Data'!B101*100</f>
        <v>20.8609724525751</v>
      </c>
      <c r="D101" s="11" t="n">
        <f aca="false">C101</f>
        <v>20.8609724525751</v>
      </c>
      <c r="E101" s="10" t="n">
        <f aca="false">'US Raw Data'!E101</f>
        <v>684.758</v>
      </c>
      <c r="F101" s="11" t="n">
        <f aca="false">'US Raw Data'!E101/(('US Raw Data'!F100/100)*'US Raw Data'!B100)*100</f>
        <v>2.25242223586191</v>
      </c>
      <c r="G101" s="11" t="n">
        <f aca="false">'US Raw Data'!F100</f>
        <v>120.39819</v>
      </c>
      <c r="H101" s="11" t="n">
        <f aca="false">'US Raw Data'!E101/'US Raw Data'!B100*100</f>
        <v>2.71187560313528</v>
      </c>
    </row>
    <row r="102" customFormat="false" ht="15" hidden="false" customHeight="false" outlineLevel="0" collapsed="false">
      <c r="A102" s="0" t="str">
        <f aca="false">'US Raw Data'!A102</f>
        <v>2022-Q3</v>
      </c>
      <c r="B102" s="11" t="n">
        <f aca="false">'US Raw Data'!C102/'US Raw Data'!B102*100</f>
        <v>19.5525461735253</v>
      </c>
      <c r="C102" s="11" t="n">
        <f aca="false">('US Raw Data'!D102-'US Raw Data'!E102)/'US Raw Data'!B102*100</f>
        <v>20.6052299517806</v>
      </c>
      <c r="D102" s="11" t="n">
        <f aca="false">C102</f>
        <v>20.6052299517806</v>
      </c>
      <c r="E102" s="10" t="n">
        <f aca="false">'US Raw Data'!E102</f>
        <v>752.081</v>
      </c>
      <c r="F102" s="11" t="n">
        <f aca="false">'US Raw Data'!E102/(('US Raw Data'!F101/100)*'US Raw Data'!B101)*100</f>
        <v>2.46030708381905</v>
      </c>
      <c r="G102" s="11" t="n">
        <f aca="false">'US Raw Data'!F101</f>
        <v>118.20207</v>
      </c>
      <c r="H102" s="11" t="n">
        <f aca="false">'US Raw Data'!E102/'US Raw Data'!B101*100</f>
        <v>2.90813390143076</v>
      </c>
    </row>
    <row r="103" customFormat="false" ht="15" hidden="false" customHeight="false" outlineLevel="0" collapsed="false">
      <c r="A103" s="0" t="str">
        <f aca="false">'US Raw Data'!A103</f>
        <v>2022-Q4</v>
      </c>
      <c r="B103" s="11" t="n">
        <f aca="false">'US Raw Data'!C103/'US Raw Data'!B103*100</f>
        <v>19.0611356957883</v>
      </c>
      <c r="C103" s="11" t="n">
        <f aca="false">('US Raw Data'!D103-'US Raw Data'!E103)/'US Raw Data'!B103*100</f>
        <v>20.5271889811305</v>
      </c>
      <c r="D103" s="11" t="n">
        <f aca="false">C103</f>
        <v>20.5271889811305</v>
      </c>
      <c r="E103" s="10" t="n">
        <f aca="false">'US Raw Data'!E103</f>
        <v>823.106</v>
      </c>
      <c r="F103" s="11" t="n">
        <f aca="false">'US Raw Data'!E103/(('US Raw Data'!F102/100)*'US Raw Data'!B102)*100</f>
        <v>2.66128331396511</v>
      </c>
      <c r="G103" s="11" t="n">
        <f aca="false">'US Raw Data'!F102</f>
        <v>117.43832</v>
      </c>
      <c r="H103" s="11" t="n">
        <f aca="false">'US Raw Data'!E103/'US Raw Data'!B102*100</f>
        <v>3.12536641436095</v>
      </c>
    </row>
    <row r="104" customFormat="false" ht="15" hidden="false" customHeight="false" outlineLevel="0" collapsed="false">
      <c r="A104" s="0" t="str">
        <f aca="false">'US Raw Data'!A104</f>
        <v>2023-Q1</v>
      </c>
      <c r="B104" s="11" t="n">
        <f aca="false">'US Raw Data'!C104/'US Raw Data'!B104*100</f>
        <v>17.4600136057446</v>
      </c>
      <c r="C104" s="11" t="n">
        <f aca="false">('US Raw Data'!D104-'US Raw Data'!E104)/'US Raw Data'!B104*100</f>
        <v>20.4741398077523</v>
      </c>
      <c r="D104" s="11" t="n">
        <f aca="false">C104</f>
        <v>20.4741398077523</v>
      </c>
      <c r="E104" s="10" t="n">
        <f aca="false">'US Raw Data'!E104</f>
        <v>861.267</v>
      </c>
      <c r="F104" s="11" t="n">
        <f aca="false">'US Raw Data'!E104/(('US Raw Data'!F103/100)*'US Raw Data'!B103)*100</f>
        <v>2.74116960595283</v>
      </c>
      <c r="G104" s="11" t="n">
        <f aca="false">'US Raw Data'!F103</f>
        <v>117.36678</v>
      </c>
      <c r="H104" s="11" t="n">
        <f aca="false">'US Raw Data'!E104/'US Raw Data'!B103*100</f>
        <v>3.21722250084552</v>
      </c>
    </row>
    <row r="105" customFormat="false" ht="15" hidden="false" customHeight="false" outlineLevel="0" collapsed="false">
      <c r="A105" s="0" t="str">
        <f aca="false">'US Raw Data'!A105</f>
        <v>2023-Q2</v>
      </c>
      <c r="B105" s="11" t="n">
        <f aca="false">'US Raw Data'!C105/'US Raw Data'!B105*100</f>
        <v>17.3244005505983</v>
      </c>
      <c r="C105" s="11" t="n">
        <f aca="false">('US Raw Data'!D105-'US Raw Data'!E105)/'US Raw Data'!B105*100</f>
        <v>20.3326546205592</v>
      </c>
      <c r="D105" s="11" t="n">
        <f aca="false">C105</f>
        <v>20.3326546205592</v>
      </c>
      <c r="E105" s="10" t="n">
        <f aca="false">'US Raw Data'!E105</f>
        <v>894.106</v>
      </c>
      <c r="F105" s="11" t="n">
        <f aca="false">'US Raw Data'!E105/(('US Raw Data'!F104/100)*'US Raw Data'!B104)*100</f>
        <v>2.84218178196467</v>
      </c>
      <c r="G105" s="11" t="n">
        <f aca="false">'US Raw Data'!F104</f>
        <v>115.58614</v>
      </c>
      <c r="H105" s="11" t="n">
        <f aca="false">'US Raw Data'!E105/'US Raw Data'!B104*100</f>
        <v>3.28516821355618</v>
      </c>
    </row>
    <row r="106" customFormat="false" ht="15" hidden="false" customHeight="false" outlineLevel="0" collapsed="false">
      <c r="A106" s="0" t="str">
        <f aca="false">'US Raw Data'!A106</f>
        <v>2023-Q3</v>
      </c>
      <c r="B106" s="11" t="n">
        <f aca="false">'US Raw Data'!C106/'US Raw Data'!B106*100</f>
        <v>17.2237703458819</v>
      </c>
      <c r="C106" s="11" t="n">
        <f aca="false">('US Raw Data'!D106-'US Raw Data'!E106)/'US Raw Data'!B106*100</f>
        <v>19.9172454944187</v>
      </c>
      <c r="D106" s="11" t="n">
        <f aca="false">C106</f>
        <v>19.9172454944187</v>
      </c>
      <c r="E106" s="10" t="n">
        <f aca="false">'US Raw Data'!E106</f>
        <v>966.899</v>
      </c>
      <c r="F106" s="11" t="n">
        <f aca="false">'US Raw Data'!E106/(('US Raw Data'!F105/100)*'US Raw Data'!B105)*100</f>
        <v>2.99050726442187</v>
      </c>
      <c r="G106" s="11" t="n">
        <f aca="false">'US Raw Data'!F105</f>
        <v>117.44355</v>
      </c>
      <c r="H106" s="11" t="n">
        <f aca="false">'US Raw Data'!E106/'US Raw Data'!B105*100</f>
        <v>3.51215789434493</v>
      </c>
    </row>
    <row r="107" customFormat="false" ht="15" hidden="false" customHeight="false" outlineLevel="0" collapsed="false">
      <c r="A107" s="0" t="str">
        <f aca="false">'US Raw Data'!A107</f>
        <v>2023-Q4</v>
      </c>
      <c r="B107" s="11" t="n">
        <f aca="false">'US Raw Data'!C107/'US Raw Data'!B107*100</f>
        <v>17.3319056559287</v>
      </c>
      <c r="C107" s="11" t="n">
        <f aca="false">('US Raw Data'!D107-'US Raw Data'!E107)/'US Raw Data'!B107*100</f>
        <v>19.8300971949699</v>
      </c>
      <c r="D107" s="11" t="n">
        <f aca="false">C107</f>
        <v>19.8300971949699</v>
      </c>
      <c r="E107" s="10" t="n">
        <f aca="false">'US Raw Data'!E107</f>
        <v>1031.478</v>
      </c>
      <c r="F107" s="11" t="n">
        <f aca="false">'US Raw Data'!E107/(('US Raw Data'!F106/100)*'US Raw Data'!B106)*100</f>
        <v>3.1099213560924</v>
      </c>
      <c r="G107" s="11" t="n">
        <f aca="false">'US Raw Data'!F106</f>
        <v>118.13897</v>
      </c>
      <c r="H107" s="11" t="n">
        <f aca="false">'US Raw Data'!E107/'US Raw Data'!B106*100</f>
        <v>3.67402905789759</v>
      </c>
    </row>
    <row r="108" customFormat="false" ht="15" hidden="false" customHeight="false" outlineLevel="0" collapsed="false">
      <c r="A108" s="0" t="str">
        <f aca="false">'US Raw Data'!A108</f>
        <v>2024-Q1</v>
      </c>
      <c r="B108" s="11" t="n">
        <f aca="false">'US Raw Data'!C108/'US Raw Data'!B108*100</f>
        <v>17.5763261185556</v>
      </c>
      <c r="C108" s="11" t="n">
        <f aca="false">('US Raw Data'!D108-'US Raw Data'!E108)/'US Raw Data'!B108*100</f>
        <v>20.1160534107357</v>
      </c>
      <c r="D108" s="11" t="n">
        <f aca="false">C108</f>
        <v>20.1160534107357</v>
      </c>
      <c r="E108" s="10" t="n">
        <f aca="false">'US Raw Data'!E108</f>
        <v>1071.174</v>
      </c>
      <c r="F108" s="11" t="n">
        <f aca="false">'US Raw Data'!E108/(('US Raw Data'!F107/100)*'US Raw Data'!B107)*100</f>
        <v>3.15037340049545</v>
      </c>
      <c r="G108" s="11" t="n">
        <f aca="false">'US Raw Data'!F107</f>
        <v>119.61944</v>
      </c>
      <c r="H108" s="11" t="n">
        <f aca="false">'US Raw Data'!E108/'US Raw Data'!B107*100</f>
        <v>3.76845901958162</v>
      </c>
    </row>
    <row r="109" customFormat="false" ht="15" hidden="false" customHeight="false" outlineLevel="0" collapsed="false">
      <c r="A109" s="0" t="str">
        <f aca="false">'US Raw Data'!A109</f>
        <v>2024-Q2</v>
      </c>
      <c r="B109" s="11" t="n">
        <f aca="false">'US Raw Data'!C109/'US Raw Data'!B109*100</f>
        <v>17.657015236262</v>
      </c>
      <c r="C109" s="11" t="n">
        <f aca="false">('US Raw Data'!D109-'US Raw Data'!E109)/'US Raw Data'!B109*100</f>
        <v>20.0722104100848</v>
      </c>
      <c r="D109" s="11" t="n">
        <f aca="false">C109</f>
        <v>20.0722104100848</v>
      </c>
      <c r="E109" s="10" t="n">
        <f aca="false">'US Raw Data'!E109</f>
        <v>1103.565</v>
      </c>
      <c r="F109" s="11" t="n">
        <f aca="false">'US Raw Data'!E109/(('US Raw Data'!F108/100)*'US Raw Data'!B108)*100</f>
        <v>3.19073611301476</v>
      </c>
      <c r="G109" s="11" t="n">
        <f aca="false">'US Raw Data'!F108</f>
        <v>120.47631</v>
      </c>
      <c r="H109" s="11" t="n">
        <f aca="false">'US Raw Data'!E109/'US Raw Data'!B108*100</f>
        <v>3.84408113079762</v>
      </c>
    </row>
    <row r="110" customFormat="false" ht="15" hidden="false" customHeight="false" outlineLevel="0" collapsed="false">
      <c r="A110" s="0" t="str">
        <f aca="false">'US Raw Data'!A110</f>
        <v>2024-Q3</v>
      </c>
      <c r="B110" s="11" t="n">
        <f aca="false">'US Raw Data'!C110/'US Raw Data'!B110*100</f>
        <v>17.6544263989994</v>
      </c>
      <c r="C110" s="11" t="n">
        <f aca="false">('US Raw Data'!D110-'US Raw Data'!E110)/'US Raw Data'!B110*100</f>
        <v>20.3969555901694</v>
      </c>
      <c r="D110" s="11" t="n">
        <f aca="false">C110</f>
        <v>20.3969555901694</v>
      </c>
      <c r="E110" s="10" t="n">
        <f aca="false">'US Raw Data'!E110</f>
        <v>1146.182</v>
      </c>
      <c r="F110" s="11" t="n">
        <f aca="false">'US Raw Data'!E110/(('US Raw Data'!F109/100)*'US Raw Data'!B109)*100</f>
        <v>3.29063528739526</v>
      </c>
      <c r="G110" s="11" t="n">
        <f aca="false">'US Raw Data'!F109</f>
        <v>119.50314</v>
      </c>
      <c r="H110" s="11" t="n">
        <f aca="false">'US Raw Data'!E110/'US Raw Data'!B109*100</f>
        <v>3.93241249438537</v>
      </c>
    </row>
    <row r="111" customFormat="false" ht="15" hidden="false" customHeight="false" outlineLevel="0" collapsed="false">
      <c r="A111" s="0" t="str">
        <f aca="false">'US Raw Data'!A111</f>
        <v>2024-Q4</v>
      </c>
      <c r="B111" s="11" t="n">
        <f aca="false">'US Raw Data'!C111/'US Raw Data'!B111*100</f>
        <v>17.8144529009077</v>
      </c>
      <c r="C111" s="11" t="n">
        <f aca="false">('US Raw Data'!D111-'US Raw Data'!E111)/'US Raw Data'!B111*100</f>
        <v>20.4258468565255</v>
      </c>
      <c r="D111" s="11" t="n">
        <f aca="false">C111</f>
        <v>20.4258468565255</v>
      </c>
      <c r="E111" s="10" t="n">
        <f aca="false">'US Raw Data'!E111</f>
        <v>1155.616</v>
      </c>
      <c r="F111" s="11" t="n">
        <f aca="false">'US Raw Data'!E111/(('US Raw Data'!F110/100)*'US Raw Data'!B110)*100</f>
        <v>3.25849884458074</v>
      </c>
      <c r="G111" s="11" t="n">
        <f aca="false">'US Raw Data'!F110</f>
        <v>120.17172</v>
      </c>
      <c r="H111" s="11" t="n">
        <f aca="false">'US Raw Data'!E111/'US Raw Data'!B110*100</f>
        <v>3.9157941077128</v>
      </c>
    </row>
    <row r="112" customFormat="false" ht="15" hidden="false" customHeight="false" outlineLevel="0" collapsed="false">
      <c r="A112" s="0" t="str">
        <f aca="false">'US Raw Data'!A112</f>
        <v>2025-Q1</v>
      </c>
      <c r="B112" s="11" t="n">
        <f aca="false">'US Raw Data'!C112/'US Raw Data'!B112*100</f>
        <v>17.9505249847106</v>
      </c>
      <c r="C112" s="11" t="n">
        <f aca="false">('US Raw Data'!D112-'US Raw Data'!E112)/'US Raw Data'!B112*100</f>
        <v>20.5357892102996</v>
      </c>
      <c r="D112" s="11" t="n">
        <f aca="false">C112</f>
        <v>20.5357892102996</v>
      </c>
      <c r="E112" s="10" t="n">
        <f aca="false">'US Raw Data'!E112</f>
        <v>1144.212</v>
      </c>
      <c r="F112" s="11" t="n">
        <f aca="false">'US Raw Data'!E112/(('US Raw Data'!F111/100)*'US Raw Data'!B111)*100</f>
        <v>3.1591828415659</v>
      </c>
      <c r="G112" s="11" t="n">
        <f aca="false">'US Raw Data'!F111</f>
        <v>121.43633</v>
      </c>
      <c r="H112" s="11" t="n">
        <f aca="false">'US Raw Data'!E112/'US Raw Data'!B111*100</f>
        <v>3.83639570078734</v>
      </c>
    </row>
    <row r="113" customFormat="false" ht="15" hidden="false" customHeight="false" outlineLevel="0" collapsed="false">
      <c r="A113" s="0" t="str">
        <f aca="false">'US Raw Data'!A113</f>
        <v>2025-Q2</v>
      </c>
      <c r="B113" s="11" t="n">
        <f aca="false">'US Raw Data'!C113/'US Raw Data'!B113*100</f>
        <v>18.3815187755556</v>
      </c>
      <c r="C113" s="11" t="n">
        <f aca="false">('US Raw Data'!D113-'US Raw Data'!E113)/'US Raw Data'!B113*100</f>
        <v>20.7816549179454</v>
      </c>
      <c r="D113" s="11" t="n">
        <f aca="false">C113</f>
        <v>20.7816549179454</v>
      </c>
      <c r="E113" s="10" t="n">
        <f aca="false">'US Raw Data'!E113</f>
        <v>1160.9</v>
      </c>
      <c r="F113" s="11" t="n">
        <f aca="false">'US Raw Data'!E113/(('US Raw Data'!F112/100)*'US Raw Data'!B112)*100</f>
        <v>3.20563886005637</v>
      </c>
      <c r="G113" s="11" t="n">
        <f aca="false">'US Raw Data'!F112</f>
        <v>120.54515</v>
      </c>
      <c r="H113" s="11" t="n">
        <f aca="false">'US Raw Data'!E113/'US Raw Data'!B112*100</f>
        <v>3.86424217231325</v>
      </c>
    </row>
    <row r="114" customFormat="false" ht="15" hidden="false" customHeight="false" outlineLevel="0" collapsed="false">
      <c r="A114" s="0" t="str">
        <f aca="false">'US Raw Data'!A114</f>
        <v>2025-Q3</v>
      </c>
      <c r="B114" s="11" t="n">
        <f aca="false">'US Raw Data'!C114/'US Raw Data'!B114*100</f>
        <v>18.630107948649</v>
      </c>
      <c r="C114" s="11" t="n">
        <f aca="false">('US Raw Data'!D114-'US Raw Data'!E114)/'US Raw Data'!B114*100</f>
        <v>20.5191152480509</v>
      </c>
      <c r="D114" s="11" t="n">
        <f aca="false">C114</f>
        <v>20.5191152480509</v>
      </c>
      <c r="E114" s="10" t="n">
        <f aca="false">'US Raw Data'!E114</f>
        <v>1199.189</v>
      </c>
      <c r="F114" s="11" t="n">
        <f aca="false">'US Raw Data'!E114/(('US Raw Data'!F113/100)*'US Raw Data'!B113)*100</f>
        <v>3.31162748425804</v>
      </c>
      <c r="G114" s="11" t="n">
        <f aca="false">'US Raw Data'!F113</f>
        <v>118.78171</v>
      </c>
      <c r="H114" s="11" t="n">
        <f aca="false">'US Raw Data'!E114/'US Raw Data'!B113*100</f>
        <v>3.93360775463168</v>
      </c>
    </row>
    <row r="115" customFormat="false" ht="15" hidden="false" customHeight="false" outlineLevel="0" collapsed="false">
      <c r="A115" s="0" t="str">
        <f aca="false">'US Raw Data'!A115</f>
        <v>2025-Q4</v>
      </c>
      <c r="B115" s="11" t="n">
        <f aca="false">'US Raw Data'!C115/'US Raw Data'!B115*100</f>
        <v>18.7714985103362</v>
      </c>
      <c r="C115" s="11" t="n">
        <f aca="false">('US Raw Data'!D115-'US Raw Data'!E115)/'US Raw Data'!B115*100</f>
        <v>20.2280618687371</v>
      </c>
      <c r="D115" s="11" t="n">
        <f aca="false">C115</f>
        <v>20.2280618687371</v>
      </c>
      <c r="E115" s="10" t="n">
        <f aca="false">'US Raw Data'!E115</f>
        <v>1227.495</v>
      </c>
      <c r="F115" s="11" t="n">
        <f aca="false">'US Raw Data'!E115/(('US Raw Data'!F114/100)*'US Raw Data'!B114)*100</f>
        <v>3.2613570507497</v>
      </c>
      <c r="G115" s="11" t="n">
        <f aca="false">'US Raw Data'!F114</f>
        <v>121.02875</v>
      </c>
      <c r="H115" s="11" t="n">
        <f aca="false">'US Raw Data'!E115/'US Raw Data'!B114*100</f>
        <v>3.94717967155923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3" min="2" style="0" width="15"/>
  </cols>
  <sheetData>
    <row r="1" customFormat="false" ht="19.7" hidden="false" customHeight="fals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09.5" hidden="false" customHeight="true" outlineLevel="0" collapsed="false">
      <c r="A2" s="8" t="s">
        <v>192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customFormat="false" ht="28.35" hidden="false" customHeight="false" outlineLevel="0" collapsed="false">
      <c r="A4" s="5" t="s">
        <v>53</v>
      </c>
      <c r="B4" s="5" t="s">
        <v>193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198</v>
      </c>
      <c r="H4" s="5" t="s">
        <v>199</v>
      </c>
      <c r="I4" s="5" t="s">
        <v>200</v>
      </c>
      <c r="J4" s="5" t="s">
        <v>201</v>
      </c>
      <c r="K4" s="5" t="s">
        <v>202</v>
      </c>
      <c r="L4" s="5" t="s">
        <v>203</v>
      </c>
      <c r="M4" s="5" t="s">
        <v>204</v>
      </c>
    </row>
    <row r="5" customFormat="false" ht="64.9" hidden="false" customHeight="false" outlineLevel="0" collapsed="false">
      <c r="B5" s="9" t="s">
        <v>205</v>
      </c>
      <c r="C5" s="9" t="s">
        <v>206</v>
      </c>
      <c r="D5" s="9" t="s">
        <v>207</v>
      </c>
      <c r="E5" s="9" t="s">
        <v>208</v>
      </c>
      <c r="F5" s="9" t="s">
        <v>209</v>
      </c>
      <c r="G5" s="9" t="s">
        <v>210</v>
      </c>
      <c r="H5" s="9" t="s">
        <v>211</v>
      </c>
      <c r="I5" s="9" t="s">
        <v>212</v>
      </c>
      <c r="J5" s="9" t="s">
        <v>213</v>
      </c>
      <c r="K5" s="9" t="s">
        <v>214</v>
      </c>
      <c r="L5" s="9" t="s">
        <v>215</v>
      </c>
      <c r="M5" s="9" t="s">
        <v>216</v>
      </c>
    </row>
    <row r="6" customFormat="false" ht="15" hidden="false" customHeight="false" outlineLevel="0" collapsed="false">
      <c r="A6" s="0" t="str">
        <f aca="false">'US Construction'!A6</f>
        <v>1998-Q3</v>
      </c>
      <c r="B6" s="11" t="n">
        <f aca="false">'US Construction'!B6-'US Construction'!D6</f>
        <v>4.2331859862909</v>
      </c>
      <c r="C6" s="11" t="n">
        <f aca="false">'US Construction'!H6</f>
        <v>4.08267880560987</v>
      </c>
      <c r="D6" s="11" t="n">
        <f aca="false">C6*100/F6</f>
        <v>6.7385470853365</v>
      </c>
      <c r="E6" s="11" t="n">
        <f aca="false">100*('US Raw Data'!B6/'US Raw Data'!B5-1)</f>
        <v>1.68788272605356</v>
      </c>
      <c r="F6" s="11" t="n">
        <f aca="false">'US Raw Data'!F6</f>
        <v>60.58693</v>
      </c>
      <c r="G6" s="11" t="n">
        <f aca="false">((1+D6/400)/(1+E6/100)-1)*F6</f>
        <v>-0.00193398098276114</v>
      </c>
      <c r="H6" s="11" t="n">
        <f aca="false">4*(L6-F6-G6+B6/4)</f>
        <v>4.24092191022195</v>
      </c>
      <c r="I6" s="11" t="n">
        <f aca="false">F6*(1+D6/400)/(1+E6/100)-B6/4+H6/4</f>
        <v>60.58693</v>
      </c>
      <c r="J6" s="10" t="n">
        <f aca="false">(1+D6/400)*(F6/100*'US Raw Data'!B5)-B6/100*'US Raw Data'!B6/4+H6/100*'US Raw Data'!B6/4</f>
        <v>5526.1926546221</v>
      </c>
      <c r="K6" s="11" t="n">
        <f aca="false">J6/'US Raw Data'!B6*100</f>
        <v>60.58693</v>
      </c>
      <c r="L6" s="11" t="n">
        <f aca="false">'US Raw Data'!F6</f>
        <v>60.58693</v>
      </c>
      <c r="M6" s="11" t="n">
        <f aca="false">I6-L6</f>
        <v>0</v>
      </c>
    </row>
    <row r="7" customFormat="false" ht="15" hidden="false" customHeight="false" outlineLevel="0" collapsed="false">
      <c r="A7" s="0" t="str">
        <f aca="false">'US Construction'!A7</f>
        <v>1998-Q4</v>
      </c>
      <c r="B7" s="11" t="n">
        <f aca="false">'US Construction'!B7-'US Construction'!D7</f>
        <v>4.09571087383235</v>
      </c>
      <c r="C7" s="11" t="n">
        <f aca="false">'US Construction'!H7</f>
        <v>3.94785846483159</v>
      </c>
      <c r="D7" s="11" t="n">
        <f aca="false">C7*100/F7</f>
        <v>6.51602328230129</v>
      </c>
      <c r="E7" s="11" t="n">
        <f aca="false">100*('US Raw Data'!B7/'US Raw Data'!B6-1)</f>
        <v>1.89553953871997</v>
      </c>
      <c r="F7" s="11" t="n">
        <f aca="false">'US Raw Data'!F6</f>
        <v>60.58693</v>
      </c>
      <c r="G7" s="11" t="n">
        <f aca="false">((1+D7/400)/(1+E7/100)-1)*F7</f>
        <v>-0.158480536017311</v>
      </c>
      <c r="H7" s="11" t="n">
        <f aca="false">4*(L7-F7-G7+B7/4)</f>
        <v>4.00975301790158</v>
      </c>
      <c r="I7" s="11" t="n">
        <f aca="false">F7*(1+D7/400)/(1+E7/100)-B7/4+H7/4</f>
        <v>60.40696</v>
      </c>
      <c r="J7" s="10" t="n">
        <f aca="false">(1+D7/400)*(F7/100*'US Raw Data'!B6)-B7/100*'US Raw Data'!B7/4+H7/100*'US Raw Data'!B7/4</f>
        <v>5614.2174257736</v>
      </c>
      <c r="K7" s="11" t="n">
        <f aca="false">J7/'US Raw Data'!B7*100</f>
        <v>60.40696</v>
      </c>
      <c r="L7" s="11" t="n">
        <f aca="false">'US Raw Data'!F7</f>
        <v>60.40696</v>
      </c>
      <c r="M7" s="11" t="n">
        <f aca="false">I7-L7</f>
        <v>0</v>
      </c>
    </row>
    <row r="8" customFormat="false" ht="15" hidden="false" customHeight="false" outlineLevel="0" collapsed="false">
      <c r="A8" s="0" t="str">
        <f aca="false">'US Construction'!A8</f>
        <v>1999-Q1</v>
      </c>
      <c r="B8" s="11" t="n">
        <f aca="false">'US Construction'!B8-'US Construction'!D8</f>
        <v>4.25651865415767</v>
      </c>
      <c r="C8" s="11" t="n">
        <f aca="false">'US Construction'!H8</f>
        <v>3.79380612699109</v>
      </c>
      <c r="D8" s="11" t="n">
        <f aca="false">C8*100/F8</f>
        <v>6.28041226870395</v>
      </c>
      <c r="E8" s="11" t="n">
        <f aca="false">100*('US Raw Data'!B8/'US Raw Data'!B7-1)</f>
        <v>1.26631282513616</v>
      </c>
      <c r="F8" s="11" t="n">
        <f aca="false">'US Raw Data'!F7</f>
        <v>60.40696</v>
      </c>
      <c r="G8" s="11" t="n">
        <f aca="false">((1+D8/400)/(1+E8/100)-1)*F8</f>
        <v>0.181215692438387</v>
      </c>
      <c r="H8" s="11" t="n">
        <f aca="false">4*(L8-F8-G8+B8/4)</f>
        <v>2.09957588440414</v>
      </c>
      <c r="I8" s="11" t="n">
        <f aca="false">F8*(1+D8/400)/(1+E8/100)-B8/4+H8/4</f>
        <v>60.04894</v>
      </c>
      <c r="J8" s="10" t="n">
        <f aca="false">(1+D8/400)*(F8/100*'US Raw Data'!B7)-B8/100*'US Raw Data'!B8/4+H8/100*'US Raw Data'!B8/4</f>
        <v>5651.6152771708</v>
      </c>
      <c r="K8" s="11" t="n">
        <f aca="false">J8/'US Raw Data'!B8*100</f>
        <v>60.04894</v>
      </c>
      <c r="L8" s="11" t="n">
        <f aca="false">'US Raw Data'!F8</f>
        <v>60.04894</v>
      </c>
      <c r="M8" s="11" t="n">
        <f aca="false">I8-L8</f>
        <v>0</v>
      </c>
    </row>
    <row r="9" customFormat="false" ht="15" hidden="false" customHeight="false" outlineLevel="0" collapsed="false">
      <c r="A9" s="0" t="str">
        <f aca="false">'US Construction'!A9</f>
        <v>1999-Q2</v>
      </c>
      <c r="B9" s="11" t="n">
        <f aca="false">'US Construction'!B9-'US Construction'!D9</f>
        <v>4.41270977650083</v>
      </c>
      <c r="C9" s="11" t="n">
        <f aca="false">'US Construction'!H9</f>
        <v>3.7415310037037</v>
      </c>
      <c r="D9" s="11" t="n">
        <f aca="false">C9*100/F9</f>
        <v>6.23080274806465</v>
      </c>
      <c r="E9" s="11" t="n">
        <f aca="false">100*('US Raw Data'!B9/'US Raw Data'!B8-1)</f>
        <v>1.2168706932512</v>
      </c>
      <c r="F9" s="11" t="n">
        <f aca="false">'US Raw Data'!F8</f>
        <v>60.04894</v>
      </c>
      <c r="G9" s="11" t="n">
        <f aca="false">((1+D9/400)/(1+E9/100)-1)*F9</f>
        <v>0.202204234389138</v>
      </c>
      <c r="H9" s="11" t="n">
        <f aca="false">4*(L9-F9-G9+B9/4)</f>
        <v>0.177212838944275</v>
      </c>
      <c r="I9" s="11" t="n">
        <f aca="false">F9*(1+D9/400)/(1+E9/100)-B9/4+H9/4</f>
        <v>59.19227</v>
      </c>
      <c r="J9" s="10" t="n">
        <f aca="false">(1+D9/400)*(F9/100*'US Raw Data'!B8)-B9/100*'US Raw Data'!B9/4+H9/100*'US Raw Data'!B9/4</f>
        <v>5638.779943967</v>
      </c>
      <c r="K9" s="11" t="n">
        <f aca="false">J9/'US Raw Data'!B9*100</f>
        <v>59.19227</v>
      </c>
      <c r="L9" s="11" t="n">
        <f aca="false">'US Raw Data'!F9</f>
        <v>59.19227</v>
      </c>
      <c r="M9" s="11" t="n">
        <f aca="false">I9-L9</f>
        <v>0</v>
      </c>
    </row>
    <row r="10" customFormat="false" ht="15" hidden="false" customHeight="false" outlineLevel="0" collapsed="false">
      <c r="A10" s="0" t="str">
        <f aca="false">'US Construction'!A10</f>
        <v>1999-Q3</v>
      </c>
      <c r="B10" s="11" t="n">
        <f aca="false">'US Construction'!B10-'US Construction'!D10</f>
        <v>4.3640582386478</v>
      </c>
      <c r="C10" s="11" t="n">
        <f aca="false">'US Construction'!H10</f>
        <v>3.68533761065523</v>
      </c>
      <c r="D10" s="11" t="n">
        <f aca="false">C10*100/F10</f>
        <v>6.22604541210404</v>
      </c>
      <c r="E10" s="11" t="n">
        <f aca="false">100*('US Raw Data'!B10/'US Raw Data'!B9-1)</f>
        <v>1.68394356202519</v>
      </c>
      <c r="F10" s="11" t="n">
        <f aca="false">'US Raw Data'!F9</f>
        <v>59.19227</v>
      </c>
      <c r="G10" s="11" t="n">
        <f aca="false">((1+D10/400)/(1+E10/100)-1)*F10</f>
        <v>-0.0741808535108082</v>
      </c>
      <c r="H10" s="11" t="n">
        <f aca="false">4*(L10-F10-G10+B10/4)</f>
        <v>1.46202165269104</v>
      </c>
      <c r="I10" s="11" t="n">
        <f aca="false">F10*(1+D10/400)/(1+E10/100)-B10/4+H10/4</f>
        <v>58.39258</v>
      </c>
      <c r="J10" s="10" t="n">
        <f aca="false">(1+D10/400)*(F10/100*'US Raw Data'!B9)-B10/100*'US Raw Data'!B10/4+H10/100*'US Raw Data'!B10/4</f>
        <v>5656.2708363508</v>
      </c>
      <c r="K10" s="11" t="n">
        <f aca="false">J10/'US Raw Data'!B10*100</f>
        <v>58.39258</v>
      </c>
      <c r="L10" s="11" t="n">
        <f aca="false">'US Raw Data'!F10</f>
        <v>58.39258</v>
      </c>
      <c r="M10" s="11" t="n">
        <f aca="false">I10-L10</f>
        <v>0</v>
      </c>
    </row>
    <row r="11" customFormat="false" ht="15" hidden="false" customHeight="false" outlineLevel="0" collapsed="false">
      <c r="A11" s="0" t="str">
        <f aca="false">'US Construction'!A11</f>
        <v>1999-Q4</v>
      </c>
      <c r="B11" s="11" t="n">
        <f aca="false">'US Construction'!B11-'US Construction'!D11</f>
        <v>4.45979255505639</v>
      </c>
      <c r="C11" s="11" t="n">
        <f aca="false">'US Construction'!H11</f>
        <v>3.64342548168991</v>
      </c>
      <c r="D11" s="11" t="n">
        <f aca="false">C11*100/F11</f>
        <v>6.23953502600829</v>
      </c>
      <c r="E11" s="11" t="n">
        <f aca="false">100*('US Raw Data'!B11/'US Raw Data'!B10-1)</f>
        <v>2.204513728516</v>
      </c>
      <c r="F11" s="11" t="n">
        <f aca="false">'US Raw Data'!F10</f>
        <v>58.39258</v>
      </c>
      <c r="G11" s="11" t="n">
        <f aca="false">((1+D11/400)/(1+E11/100)-1)*F11</f>
        <v>-0.368296916036489</v>
      </c>
      <c r="H11" s="11" t="n">
        <f aca="false">4*(L11-F11-G11+B11/4)</f>
        <v>5.73610021920232</v>
      </c>
      <c r="I11" s="11" t="n">
        <f aca="false">F11*(1+D11/400)/(1+E11/100)-B11/4+H11/4</f>
        <v>58.34336</v>
      </c>
      <c r="J11" s="10" t="n">
        <f aca="false">(1+D11/400)*(F11/100*'US Raw Data'!B10)-B11/100*'US Raw Data'!B11/4+H11/100*'US Raw Data'!B11/4</f>
        <v>5776.0912402784</v>
      </c>
      <c r="K11" s="11" t="n">
        <f aca="false">J11/'US Raw Data'!B11*100</f>
        <v>58.34336</v>
      </c>
      <c r="L11" s="11" t="n">
        <f aca="false">'US Raw Data'!F11</f>
        <v>58.34336</v>
      </c>
      <c r="M11" s="11" t="n">
        <f aca="false">I11-L11</f>
        <v>0</v>
      </c>
    </row>
    <row r="12" customFormat="false" ht="15" hidden="false" customHeight="false" outlineLevel="0" collapsed="false">
      <c r="A12" s="0" t="str">
        <f aca="false">'US Construction'!A12</f>
        <v>2000-Q1</v>
      </c>
      <c r="B12" s="11" t="n">
        <f aca="false">'US Construction'!B12-'US Construction'!D12</f>
        <v>5.30162477596132</v>
      </c>
      <c r="C12" s="11" t="n">
        <f aca="false">'US Construction'!H12</f>
        <v>3.58399942465629</v>
      </c>
      <c r="D12" s="11" t="n">
        <f aca="false">C12*100/F12</f>
        <v>6.14294312952886</v>
      </c>
      <c r="E12" s="11" t="n">
        <f aca="false">100*('US Raw Data'!B12/'US Raw Data'!B11-1)</f>
        <v>1.03038645097877</v>
      </c>
      <c r="F12" s="11" t="n">
        <f aca="false">'US Raw Data'!F11</f>
        <v>58.34336</v>
      </c>
      <c r="G12" s="11" t="n">
        <f aca="false">((1+D12/400)/(1+E12/100)-1)*F12</f>
        <v>0.291830794709833</v>
      </c>
      <c r="H12" s="11" t="n">
        <f aca="false">4*(L12-F12-G12+B12/4)</f>
        <v>1.64622159712199</v>
      </c>
      <c r="I12" s="11" t="n">
        <f aca="false">F12*(1+D12/400)/(1+E12/100)-B12/4+H12/4</f>
        <v>57.72134</v>
      </c>
      <c r="J12" s="10" t="n">
        <f aca="false">(1+D12/400)*(F12/100*'US Raw Data'!B11)-B12/100*'US Raw Data'!B12/4+H12/100*'US Raw Data'!B12/4</f>
        <v>5773.3917479986</v>
      </c>
      <c r="K12" s="11" t="n">
        <f aca="false">J12/'US Raw Data'!B12*100</f>
        <v>57.72134</v>
      </c>
      <c r="L12" s="11" t="n">
        <f aca="false">'US Raw Data'!F12</f>
        <v>57.72134</v>
      </c>
      <c r="M12" s="11" t="n">
        <f aca="false">I12-L12</f>
        <v>0</v>
      </c>
    </row>
    <row r="13" customFormat="false" ht="15" hidden="false" customHeight="false" outlineLevel="0" collapsed="false">
      <c r="A13" s="0" t="str">
        <f aca="false">'US Construction'!A13</f>
        <v>2000-Q2</v>
      </c>
      <c r="B13" s="11" t="n">
        <f aca="false">'US Construction'!B13-'US Construction'!D13</f>
        <v>4.89614275175356</v>
      </c>
      <c r="C13" s="11" t="n">
        <f aca="false">'US Construction'!H13</f>
        <v>3.54031856458478</v>
      </c>
      <c r="D13" s="11" t="n">
        <f aca="false">C13*100/F13</f>
        <v>6.13346565513687</v>
      </c>
      <c r="E13" s="11" t="n">
        <f aca="false">100*('US Raw Data'!B13/'US Raw Data'!B12-1)</f>
        <v>2.45487508271947</v>
      </c>
      <c r="F13" s="11" t="n">
        <f aca="false">'US Raw Data'!F12</f>
        <v>57.72134</v>
      </c>
      <c r="G13" s="11" t="n">
        <f aca="false">((1+D13/400)/(1+E13/100)-1)*F13</f>
        <v>-0.519162364403009</v>
      </c>
      <c r="H13" s="11" t="n">
        <f aca="false">4*(L13-F13-G13+B13/4)</f>
        <v>-1.9729277906344</v>
      </c>
      <c r="I13" s="11" t="n">
        <f aca="false">F13*(1+D13/400)/(1+E13/100)-B13/4+H13/4</f>
        <v>55.48491</v>
      </c>
      <c r="J13" s="10" t="n">
        <f aca="false">(1+D13/400)*(F13/100*'US Raw Data'!B12)-B13/100*'US Raw Data'!B13/4+H13/100*'US Raw Data'!B13/4</f>
        <v>5685.938219052</v>
      </c>
      <c r="K13" s="11" t="n">
        <f aca="false">J13/'US Raw Data'!B13*100</f>
        <v>55.48491</v>
      </c>
      <c r="L13" s="11" t="n">
        <f aca="false">'US Raw Data'!F13</f>
        <v>55.48491</v>
      </c>
      <c r="M13" s="11" t="n">
        <f aca="false">I13-L13</f>
        <v>0</v>
      </c>
    </row>
    <row r="14" customFormat="false" ht="15" hidden="false" customHeight="false" outlineLevel="0" collapsed="false">
      <c r="A14" s="0" t="str">
        <f aca="false">'US Construction'!A14</f>
        <v>2000-Q3</v>
      </c>
      <c r="B14" s="11" t="n">
        <f aca="false">'US Construction'!B14-'US Construction'!D14</f>
        <v>4.94785652293795</v>
      </c>
      <c r="C14" s="11" t="n">
        <f aca="false">'US Construction'!H14</f>
        <v>3.44346840077598</v>
      </c>
      <c r="D14" s="11" t="n">
        <f aca="false">C14*100/F14</f>
        <v>6.20613496674317</v>
      </c>
      <c r="E14" s="11" t="n">
        <f aca="false">100*('US Raw Data'!B14/'US Raw Data'!B13-1)</f>
        <v>0.687421201984462</v>
      </c>
      <c r="F14" s="11" t="n">
        <f aca="false">'US Raw Data'!F13</f>
        <v>55.48491</v>
      </c>
      <c r="G14" s="11" t="n">
        <f aca="false">((1+D14/400)/(1+E14/100)-1)*F14</f>
        <v>0.476178711529614</v>
      </c>
      <c r="H14" s="11" t="n">
        <f aca="false">4*(L14-F14-G14+B14/4)</f>
        <v>1.0720216768195</v>
      </c>
      <c r="I14" s="11" t="n">
        <f aca="false">F14*(1+D14/400)/(1+E14/100)-B14/4+H14/4</f>
        <v>54.99213</v>
      </c>
      <c r="J14" s="10" t="n">
        <f aca="false">(1+D14/400)*(F14/100*'US Raw Data'!B13)-B14/100*'US Raw Data'!B14/4+H14/100*'US Raw Data'!B14/4</f>
        <v>5674.1787104145</v>
      </c>
      <c r="K14" s="11" t="n">
        <f aca="false">J14/'US Raw Data'!B14*100</f>
        <v>54.99213</v>
      </c>
      <c r="L14" s="11" t="n">
        <f aca="false">'US Raw Data'!F14</f>
        <v>54.99213</v>
      </c>
      <c r="M14" s="11" t="n">
        <f aca="false">I14-L14</f>
        <v>0</v>
      </c>
    </row>
    <row r="15" customFormat="false" ht="15" hidden="false" customHeight="false" outlineLevel="0" collapsed="false">
      <c r="A15" s="0" t="str">
        <f aca="false">'US Construction'!A15</f>
        <v>2000-Q4</v>
      </c>
      <c r="B15" s="11" t="n">
        <f aca="false">'US Construction'!B15-'US Construction'!D15</f>
        <v>4.89763834758691</v>
      </c>
      <c r="C15" s="11" t="n">
        <f aca="false">'US Construction'!H15</f>
        <v>3.42216857357873</v>
      </c>
      <c r="D15" s="11" t="n">
        <f aca="false">C15*100/F15</f>
        <v>6.22301513612717</v>
      </c>
      <c r="E15" s="11" t="n">
        <f aca="false">100*('US Raw Data'!B15/'US Raw Data'!B14-1)</f>
        <v>1.13953401598055</v>
      </c>
      <c r="F15" s="11" t="n">
        <f aca="false">'US Raw Data'!F14</f>
        <v>54.99213</v>
      </c>
      <c r="G15" s="11" t="n">
        <f aca="false">((1+D15/400)/(1+E15/100)-1)*F15</f>
        <v>0.226309245103172</v>
      </c>
      <c r="H15" s="11" t="n">
        <f aca="false">4*(L15-F15-G15+B15/4)</f>
        <v>1.0554813671742</v>
      </c>
      <c r="I15" s="11" t="n">
        <f aca="false">F15*(1+D15/400)/(1+E15/100)-B15/4+H15/4</f>
        <v>54.2579</v>
      </c>
      <c r="J15" s="10" t="n">
        <f aca="false">(1+D15/400)*(F15/100*'US Raw Data'!B14)-B15/100*'US Raw Data'!B15/4+H15/100*'US Raw Data'!B15/4</f>
        <v>5662.215543776</v>
      </c>
      <c r="K15" s="11" t="n">
        <f aca="false">J15/'US Raw Data'!B15*100</f>
        <v>54.2579</v>
      </c>
      <c r="L15" s="11" t="n">
        <f aca="false">'US Raw Data'!F15</f>
        <v>54.2579</v>
      </c>
      <c r="M15" s="11" t="n">
        <f aca="false">I15-L15</f>
        <v>0</v>
      </c>
    </row>
    <row r="16" customFormat="false" ht="15" hidden="false" customHeight="false" outlineLevel="0" collapsed="false">
      <c r="A16" s="0" t="str">
        <f aca="false">'US Construction'!A16</f>
        <v>2001-Q1</v>
      </c>
      <c r="B16" s="11" t="n">
        <f aca="false">'US Construction'!B16-'US Construction'!D16</f>
        <v>4.52627071933752</v>
      </c>
      <c r="C16" s="11" t="n">
        <f aca="false">'US Construction'!H16</f>
        <v>3.31053540600459</v>
      </c>
      <c r="D16" s="11" t="n">
        <f aca="false">C16*100/F16</f>
        <v>6.10148090140716</v>
      </c>
      <c r="E16" s="11" t="n">
        <f aca="false">100*('US Raw Data'!B16/'US Raw Data'!B15-1)</f>
        <v>0.330469969366809</v>
      </c>
      <c r="F16" s="11" t="n">
        <f aca="false">'US Raw Data'!F15</f>
        <v>54.2579</v>
      </c>
      <c r="G16" s="11" t="n">
        <f aca="false">((1+D16/400)/(1+E16/100)-1)*F16</f>
        <v>0.646192314448471</v>
      </c>
      <c r="H16" s="11" t="n">
        <f aca="false">4*(L16-F16-G16+B16/4)</f>
        <v>5.48726146154364</v>
      </c>
      <c r="I16" s="11" t="n">
        <f aca="false">F16*(1+D16/400)/(1+E16/100)-B16/4+H16/4</f>
        <v>55.14434</v>
      </c>
      <c r="J16" s="10" t="n">
        <f aca="false">(1+D16/400)*(F16/100*'US Raw Data'!B15)-B16/100*'US Raw Data'!B16/4+H16/100*'US Raw Data'!B16/4</f>
        <v>5773.7397814254</v>
      </c>
      <c r="K16" s="11" t="n">
        <f aca="false">J16/'US Raw Data'!B16*100</f>
        <v>55.14434</v>
      </c>
      <c r="L16" s="11" t="n">
        <f aca="false">'US Raw Data'!F16</f>
        <v>55.14434</v>
      </c>
      <c r="M16" s="11" t="n">
        <f aca="false">I16-L16</f>
        <v>0</v>
      </c>
    </row>
    <row r="17" customFormat="false" ht="15" hidden="false" customHeight="false" outlineLevel="0" collapsed="false">
      <c r="A17" s="0" t="str">
        <f aca="false">'US Construction'!A17</f>
        <v>2001-Q2</v>
      </c>
      <c r="B17" s="11" t="n">
        <f aca="false">'US Construction'!B17-'US Construction'!D17</f>
        <v>4.05277856401548</v>
      </c>
      <c r="C17" s="11" t="n">
        <f aca="false">'US Construction'!H17</f>
        <v>3.19740796549761</v>
      </c>
      <c r="D17" s="11" t="n">
        <f aca="false">C17*100/F17</f>
        <v>5.79825230567201</v>
      </c>
      <c r="E17" s="11" t="n">
        <f aca="false">100*('US Raw Data'!B17/'US Raw Data'!B16-1)</f>
        <v>1.22985825241104</v>
      </c>
      <c r="F17" s="11" t="n">
        <f aca="false">'US Raw Data'!F16</f>
        <v>55.14434</v>
      </c>
      <c r="G17" s="11" t="n">
        <f aca="false">((1+D17/400)/(1+E17/100)-1)*F17</f>
        <v>0.119682845791117</v>
      </c>
      <c r="H17" s="11" t="n">
        <f aca="false">4*(L17-F17-G17+B17/4)</f>
        <v>-0.876712819148994</v>
      </c>
      <c r="I17" s="11" t="n">
        <f aca="false">F17*(1+D17/400)/(1+E17/100)-B17/4+H17/4</f>
        <v>54.03165</v>
      </c>
      <c r="J17" s="10" t="n">
        <f aca="false">(1+D17/400)*(F17/100*'US Raw Data'!B16)-B17/100*'US Raw Data'!B17/4+H17/100*'US Raw Data'!B17/4</f>
        <v>5726.8145835</v>
      </c>
      <c r="K17" s="11" t="n">
        <f aca="false">J17/'US Raw Data'!B17*100</f>
        <v>54.03165</v>
      </c>
      <c r="L17" s="11" t="n">
        <f aca="false">'US Raw Data'!F17</f>
        <v>54.03165</v>
      </c>
      <c r="M17" s="11" t="n">
        <f aca="false">I17-L17</f>
        <v>0</v>
      </c>
    </row>
    <row r="18" customFormat="false" ht="15" hidden="false" customHeight="false" outlineLevel="0" collapsed="false">
      <c r="A18" s="0" t="str">
        <f aca="false">'US Construction'!A18</f>
        <v>2001-Q3</v>
      </c>
      <c r="B18" s="11" t="n">
        <f aca="false">'US Construction'!B18-'US Construction'!D18</f>
        <v>1.85696950939892</v>
      </c>
      <c r="C18" s="11" t="n">
        <f aca="false">'US Construction'!H18</f>
        <v>3.08355505236343</v>
      </c>
      <c r="D18" s="11" t="n">
        <f aca="false">C18*100/F18</f>
        <v>5.70694223175385</v>
      </c>
      <c r="E18" s="11" t="n">
        <f aca="false">100*('US Raw Data'!B18/'US Raw Data'!B17-1)</f>
        <v>-0.00924615529767081</v>
      </c>
      <c r="F18" s="11" t="n">
        <f aca="false">'US Raw Data'!F17</f>
        <v>54.03165</v>
      </c>
      <c r="G18" s="11" t="n">
        <f aca="false">((1+D18/400)/(1+E18/100)-1)*F18</f>
        <v>0.775956359489798</v>
      </c>
      <c r="H18" s="11" t="n">
        <f aca="false">4*(L18-F18-G18+B18/4)</f>
        <v>1.81706407143973</v>
      </c>
      <c r="I18" s="11" t="n">
        <f aca="false">F18*(1+D18/400)/(1+E18/100)-B18/4+H18/4</f>
        <v>54.79763</v>
      </c>
      <c r="J18" s="10" t="n">
        <f aca="false">(1+D18/400)*(F18/100*'US Raw Data'!B17)-B18/100*'US Raw Data'!B18/4+H18/100*'US Raw Data'!B18/4</f>
        <v>5807.463786926</v>
      </c>
      <c r="K18" s="11" t="n">
        <f aca="false">J18/'US Raw Data'!B18*100</f>
        <v>54.79763</v>
      </c>
      <c r="L18" s="11" t="n">
        <f aca="false">'US Raw Data'!F18</f>
        <v>54.79763</v>
      </c>
      <c r="M18" s="11" t="n">
        <f aca="false">I18-L18</f>
        <v>0</v>
      </c>
    </row>
    <row r="19" customFormat="false" ht="15" hidden="false" customHeight="false" outlineLevel="0" collapsed="false">
      <c r="A19" s="0" t="str">
        <f aca="false">'US Construction'!A19</f>
        <v>2001-Q4</v>
      </c>
      <c r="B19" s="11" t="n">
        <f aca="false">'US Construction'!B19-'US Construction'!D19</f>
        <v>2.67147821413043</v>
      </c>
      <c r="C19" s="11" t="n">
        <f aca="false">'US Construction'!H19</f>
        <v>2.99887148731556</v>
      </c>
      <c r="D19" s="11" t="n">
        <f aca="false">C19*100/F19</f>
        <v>5.47262990628528</v>
      </c>
      <c r="E19" s="11" t="n">
        <f aca="false">100*('US Raw Data'!B19/'US Raw Data'!B18-1)</f>
        <v>0.589213834282254</v>
      </c>
      <c r="F19" s="11" t="n">
        <f aca="false">'US Raw Data'!F18</f>
        <v>54.79763</v>
      </c>
      <c r="G19" s="11" t="n">
        <f aca="false">((1+D19/400)/(1+E19/100)-1)*F19</f>
        <v>0.42434237105511</v>
      </c>
      <c r="H19" s="11" t="n">
        <f aca="false">4*(L19-F19-G19+B19/4)</f>
        <v>4.79222872991002</v>
      </c>
      <c r="I19" s="11" t="n">
        <f aca="false">F19*(1+D19/400)/(1+E19/100)-B19/4+H19/4</f>
        <v>55.75216</v>
      </c>
      <c r="J19" s="10" t="n">
        <f aca="false">(1+D19/400)*(F19/100*'US Raw Data'!B18)-B19/100*'US Raw Data'!B19/4+H19/100*'US Raw Data'!B19/4</f>
        <v>5943.439503544</v>
      </c>
      <c r="K19" s="11" t="n">
        <f aca="false">J19/'US Raw Data'!B19*100</f>
        <v>55.75216</v>
      </c>
      <c r="L19" s="11" t="n">
        <f aca="false">'US Raw Data'!F19</f>
        <v>55.75216</v>
      </c>
      <c r="M19" s="11" t="n">
        <f aca="false">I19-L19</f>
        <v>0</v>
      </c>
    </row>
    <row r="20" customFormat="false" ht="15" hidden="false" customHeight="false" outlineLevel="0" collapsed="false">
      <c r="A20" s="0" t="str">
        <f aca="false">'US Construction'!A20</f>
        <v>2002-Q1</v>
      </c>
      <c r="B20" s="11" t="n">
        <f aca="false">'US Construction'!B20-'US Construction'!D20</f>
        <v>0.733518801873231</v>
      </c>
      <c r="C20" s="11" t="n">
        <f aca="false">'US Construction'!H20</f>
        <v>2.86039117430619</v>
      </c>
      <c r="D20" s="11" t="n">
        <f aca="false">C20*100/F20</f>
        <v>5.13054772103213</v>
      </c>
      <c r="E20" s="11" t="n">
        <f aca="false">100*('US Raw Data'!B20/'US Raw Data'!B19-1)</f>
        <v>1.15412413998826</v>
      </c>
      <c r="F20" s="11" t="n">
        <f aca="false">'US Raw Data'!F19</f>
        <v>55.75216</v>
      </c>
      <c r="G20" s="11" t="n">
        <f aca="false">((1+D20/400)/(1+E20/100)-1)*F20</f>
        <v>0.0708311767422457</v>
      </c>
      <c r="H20" s="11" t="n">
        <f aca="false">4*(L20-F20-G20+B20/4)</f>
        <v>0.227554094904236</v>
      </c>
      <c r="I20" s="11" t="n">
        <f aca="false">F20*(1+D20/400)/(1+E20/100)-B20/4+H20/4</f>
        <v>55.6965</v>
      </c>
      <c r="J20" s="10" t="n">
        <f aca="false">(1+D20/400)*(F20/100*'US Raw Data'!B19)-B20/100*'US Raw Data'!B20/4+H20/100*'US Raw Data'!B20/4</f>
        <v>6006.0320775</v>
      </c>
      <c r="K20" s="11" t="n">
        <f aca="false">J20/'US Raw Data'!B20*100</f>
        <v>55.6965</v>
      </c>
      <c r="L20" s="11" t="n">
        <f aca="false">'US Raw Data'!F20</f>
        <v>55.6965</v>
      </c>
      <c r="M20" s="11" t="n">
        <f aca="false">I20-L20</f>
        <v>0</v>
      </c>
    </row>
    <row r="21" customFormat="false" ht="15" hidden="false" customHeight="false" outlineLevel="0" collapsed="false">
      <c r="A21" s="0" t="str">
        <f aca="false">'US Construction'!A21</f>
        <v>2002-Q2</v>
      </c>
      <c r="B21" s="11" t="n">
        <f aca="false">'US Construction'!B21-'US Construction'!D21</f>
        <v>0.365594913781543</v>
      </c>
      <c r="C21" s="11" t="n">
        <f aca="false">'US Construction'!H21</f>
        <v>2.8001854685399</v>
      </c>
      <c r="D21" s="11" t="n">
        <f aca="false">C21*100/F21</f>
        <v>5.027578875764</v>
      </c>
      <c r="E21" s="11" t="n">
        <f aca="false">100*('US Raw Data'!B21/'US Raw Data'!B20-1)</f>
        <v>0.964065470394582</v>
      </c>
      <c r="F21" s="11" t="n">
        <f aca="false">'US Raw Data'!F20</f>
        <v>55.6965</v>
      </c>
      <c r="G21" s="11" t="n">
        <f aca="false">((1+D21/400)/(1+E21/100)-1)*F21</f>
        <v>0.161538307373796</v>
      </c>
      <c r="H21" s="11" t="n">
        <f aca="false">4*(L21-F21-G21+B21/4)</f>
        <v>2.01692168428636</v>
      </c>
      <c r="I21" s="11" t="n">
        <f aca="false">F21*(1+D21/400)/(1+E21/100)-B21/4+H21/4</f>
        <v>56.27087</v>
      </c>
      <c r="J21" s="10" t="n">
        <f aca="false">(1+D21/400)*(F21/100*'US Raw Data'!B20)-B21/100*'US Raw Data'!B21/4+H21/100*'US Raw Data'!B21/4</f>
        <v>6126.468462902</v>
      </c>
      <c r="K21" s="11" t="n">
        <f aca="false">J21/'US Raw Data'!B21*100</f>
        <v>56.27087</v>
      </c>
      <c r="L21" s="11" t="n">
        <f aca="false">'US Raw Data'!F21</f>
        <v>56.27087</v>
      </c>
      <c r="M21" s="11" t="n">
        <f aca="false">I21-L21</f>
        <v>0</v>
      </c>
    </row>
    <row r="22" customFormat="false" ht="15" hidden="false" customHeight="false" outlineLevel="0" collapsed="false">
      <c r="A22" s="0" t="str">
        <f aca="false">'US Construction'!A22</f>
        <v>2002-Q3</v>
      </c>
      <c r="B22" s="11" t="n">
        <f aca="false">'US Construction'!B22-'US Construction'!D22</f>
        <v>0.195929730773013</v>
      </c>
      <c r="C22" s="11" t="n">
        <f aca="false">'US Construction'!H22</f>
        <v>2.75720875208726</v>
      </c>
      <c r="D22" s="11" t="n">
        <f aca="false">C22*100/F22</f>
        <v>4.89988648138418</v>
      </c>
      <c r="E22" s="11" t="n">
        <f aca="false">100*('US Raw Data'!B22/'US Raw Data'!B21-1)</f>
        <v>0.887075589715147</v>
      </c>
      <c r="F22" s="11" t="n">
        <f aca="false">'US Raw Data'!F21</f>
        <v>56.27087</v>
      </c>
      <c r="G22" s="11" t="n">
        <f aca="false">((1+D22/400)/(1+E22/100)-1)*F22</f>
        <v>0.18846520728256</v>
      </c>
      <c r="H22" s="11" t="n">
        <f aca="false">4*(L22-F22-G22+B22/4)</f>
        <v>1.16898890164275</v>
      </c>
      <c r="I22" s="11" t="n">
        <f aca="false">F22*(1+D22/400)/(1+E22/100)-B22/4+H22/4</f>
        <v>56.7026</v>
      </c>
      <c r="J22" s="10" t="n">
        <f aca="false">(1+D22/400)*(F22/100*'US Raw Data'!B21)-B22/100*'US Raw Data'!B22/4+H22/100*'US Raw Data'!B22/4</f>
        <v>6228.23626504</v>
      </c>
      <c r="K22" s="11" t="n">
        <f aca="false">J22/'US Raw Data'!B22*100</f>
        <v>56.7026</v>
      </c>
      <c r="L22" s="11" t="n">
        <f aca="false">'US Raw Data'!F22</f>
        <v>56.7026</v>
      </c>
      <c r="M22" s="11" t="n">
        <f aca="false">I22-L22</f>
        <v>0</v>
      </c>
    </row>
    <row r="23" customFormat="false" ht="15" hidden="false" customHeight="false" outlineLevel="0" collapsed="false">
      <c r="A23" s="0" t="str">
        <f aca="false">'US Construction'!A23</f>
        <v>2002-Q4</v>
      </c>
      <c r="B23" s="11" t="n">
        <f aca="false">'US Construction'!B23-'US Construction'!D23</f>
        <v>-0.0596034889873671</v>
      </c>
      <c r="C23" s="11" t="n">
        <f aca="false">'US Construction'!H23</f>
        <v>2.71308188972364</v>
      </c>
      <c r="D23" s="11" t="n">
        <f aca="false">C23*100/F23</f>
        <v>4.78475747095131</v>
      </c>
      <c r="E23" s="11" t="n">
        <f aca="false">100*('US Raw Data'!B23/'US Raw Data'!B22-1)</f>
        <v>0.704595030608046</v>
      </c>
      <c r="F23" s="11" t="n">
        <f aca="false">'US Raw Data'!F22</f>
        <v>56.7026</v>
      </c>
      <c r="G23" s="11" t="n">
        <f aca="false">((1+D23/400)/(1+E23/100)-1)*F23</f>
        <v>0.276796476387819</v>
      </c>
      <c r="H23" s="11" t="n">
        <f aca="false">4*(L23-F23-G23+B23/4)</f>
        <v>3.66393060546137</v>
      </c>
      <c r="I23" s="11" t="n">
        <f aca="false">F23*(1+D23/400)/(1+E23/100)-B23/4+H23/4</f>
        <v>57.91028</v>
      </c>
      <c r="J23" s="10" t="n">
        <f aca="false">(1+D23/400)*(F23/100*'US Raw Data'!B22)-B23/100*'US Raw Data'!B23/4+H23/100*'US Raw Data'!B23/4</f>
        <v>6405.7068223124</v>
      </c>
      <c r="K23" s="11" t="n">
        <f aca="false">J23/'US Raw Data'!B23*100</f>
        <v>57.91028</v>
      </c>
      <c r="L23" s="11" t="n">
        <f aca="false">'US Raw Data'!F23</f>
        <v>57.91028</v>
      </c>
      <c r="M23" s="11" t="n">
        <f aca="false">I23-L23</f>
        <v>0</v>
      </c>
    </row>
    <row r="24" customFormat="false" ht="15" hidden="false" customHeight="false" outlineLevel="0" collapsed="false">
      <c r="A24" s="0" t="str">
        <f aca="false">'US Construction'!A24</f>
        <v>2003-Q1</v>
      </c>
      <c r="B24" s="11" t="n">
        <f aca="false">'US Construction'!B24-'US Construction'!D24</f>
        <v>-0.354855398572905</v>
      </c>
      <c r="C24" s="11" t="n">
        <f aca="false">'US Construction'!H24</f>
        <v>2.62889989027642</v>
      </c>
      <c r="D24" s="11" t="n">
        <f aca="false">C24*100/F24</f>
        <v>4.53960832217772</v>
      </c>
      <c r="E24" s="11" t="n">
        <f aca="false">100*('US Raw Data'!B24/'US Raw Data'!B23-1)</f>
        <v>1.01881917107847</v>
      </c>
      <c r="F24" s="11" t="n">
        <f aca="false">'US Raw Data'!F23</f>
        <v>57.91028</v>
      </c>
      <c r="G24" s="11" t="n">
        <f aca="false">((1+D24/400)/(1+E24/100)-1)*F24</f>
        <v>0.0665459549572068</v>
      </c>
      <c r="H24" s="11" t="n">
        <f aca="false">4*(L24-F24-G24+B24/4)</f>
        <v>-0.985919218401732</v>
      </c>
      <c r="I24" s="11" t="n">
        <f aca="false">F24*(1+D24/400)/(1+E24/100)-B24/4+H24/4</f>
        <v>57.81906</v>
      </c>
      <c r="J24" s="10" t="n">
        <f aca="false">(1+D24/400)*(F24/100*'US Raw Data'!B23)-B24/100*'US Raw Data'!B24/4+H24/100*'US Raw Data'!B24/4</f>
        <v>6460.7763509874</v>
      </c>
      <c r="K24" s="11" t="n">
        <f aca="false">J24/'US Raw Data'!B24*100</f>
        <v>57.81906</v>
      </c>
      <c r="L24" s="11" t="n">
        <f aca="false">'US Raw Data'!F24</f>
        <v>57.81906</v>
      </c>
      <c r="M24" s="11" t="n">
        <f aca="false">I24-L24</f>
        <v>0</v>
      </c>
    </row>
    <row r="25" customFormat="false" ht="15" hidden="false" customHeight="false" outlineLevel="0" collapsed="false">
      <c r="A25" s="0" t="str">
        <f aca="false">'US Construction'!A25</f>
        <v>2003-Q2</v>
      </c>
      <c r="B25" s="11" t="n">
        <f aca="false">'US Construction'!B25-'US Construction'!D25</f>
        <v>-0.85684615062311</v>
      </c>
      <c r="C25" s="11" t="n">
        <f aca="false">'US Construction'!H25</f>
        <v>2.59816223707459</v>
      </c>
      <c r="D25" s="11" t="n">
        <f aca="false">C25*100/F25</f>
        <v>4.49360857314973</v>
      </c>
      <c r="E25" s="11" t="n">
        <f aca="false">100*('US Raw Data'!B25/'US Raw Data'!B24-1)</f>
        <v>1.24069625471479</v>
      </c>
      <c r="F25" s="11" t="n">
        <f aca="false">'US Raw Data'!F24</f>
        <v>57.81906</v>
      </c>
      <c r="G25" s="11" t="n">
        <f aca="false">((1+D25/400)/(1+E25/100)-1)*F25</f>
        <v>-0.0669872444298748</v>
      </c>
      <c r="H25" s="11" t="n">
        <f aca="false">4*(L25-F25-G25+B25/4)</f>
        <v>3.97890282709639</v>
      </c>
      <c r="I25" s="11" t="n">
        <f aca="false">F25*(1+D25/400)/(1+E25/100)-B25/4+H25/4</f>
        <v>58.96101</v>
      </c>
      <c r="J25" s="10" t="n">
        <f aca="false">(1+D25/400)*(F25/100*'US Raw Data'!B24)-B25/100*'US Raw Data'!B25/4+H25/100*'US Raw Data'!B25/4</f>
        <v>6670.1210925366</v>
      </c>
      <c r="K25" s="11" t="n">
        <f aca="false">J25/'US Raw Data'!B25*100</f>
        <v>58.96101</v>
      </c>
      <c r="L25" s="11" t="n">
        <f aca="false">'US Raw Data'!F25</f>
        <v>58.96101</v>
      </c>
      <c r="M25" s="11" t="n">
        <f aca="false">I25-L25</f>
        <v>0</v>
      </c>
    </row>
    <row r="26" customFormat="false" ht="15" hidden="false" customHeight="false" outlineLevel="0" collapsed="false">
      <c r="A26" s="0" t="str">
        <f aca="false">'US Construction'!A26</f>
        <v>2003-Q3</v>
      </c>
      <c r="B26" s="11" t="n">
        <f aca="false">'US Construction'!B26-'US Construction'!D26</f>
        <v>-1.53697663519203</v>
      </c>
      <c r="C26" s="11" t="n">
        <f aca="false">'US Construction'!H26</f>
        <v>2.57814048306135</v>
      </c>
      <c r="D26" s="11" t="n">
        <f aca="false">C26*100/F26</f>
        <v>4.3726192666329</v>
      </c>
      <c r="E26" s="11" t="n">
        <f aca="false">100*('US Raw Data'!B26/'US Raw Data'!B25-1)</f>
        <v>2.24439363458946</v>
      </c>
      <c r="F26" s="11" t="n">
        <f aca="false">'US Raw Data'!F25</f>
        <v>58.96101</v>
      </c>
      <c r="G26" s="11" t="n">
        <f aca="false">((1+D26/400)/(1+E26/100)-1)*F26</f>
        <v>-0.663881911207979</v>
      </c>
      <c r="H26" s="11" t="n">
        <f aca="false">4*(L26-F26-G26+B26/4)</f>
        <v>-0.143848990360131</v>
      </c>
      <c r="I26" s="11" t="n">
        <f aca="false">F26*(1+D26/400)/(1+E26/100)-B26/4+H26/4</f>
        <v>58.64541</v>
      </c>
      <c r="J26" s="10" t="n">
        <f aca="false">(1+D26/400)*(F26/100*'US Raw Data'!B25)-B26/100*'US Raw Data'!B26/4+H26/100*'US Raw Data'!B26/4</f>
        <v>6783.3204583929</v>
      </c>
      <c r="K26" s="11" t="n">
        <f aca="false">J26/'US Raw Data'!B26*100</f>
        <v>58.64541</v>
      </c>
      <c r="L26" s="11" t="n">
        <f aca="false">'US Raw Data'!F26</f>
        <v>58.64541</v>
      </c>
      <c r="M26" s="11" t="n">
        <f aca="false">I26-L26</f>
        <v>0</v>
      </c>
    </row>
    <row r="27" customFormat="false" ht="15" hidden="false" customHeight="false" outlineLevel="0" collapsed="false">
      <c r="A27" s="0" t="str">
        <f aca="false">'US Construction'!A27</f>
        <v>2003-Q4</v>
      </c>
      <c r="B27" s="11" t="n">
        <f aca="false">'US Construction'!B27-'US Construction'!D27</f>
        <v>-0.919757456401221</v>
      </c>
      <c r="C27" s="11" t="n">
        <f aca="false">'US Construction'!H27</f>
        <v>2.54271994815448</v>
      </c>
      <c r="D27" s="11" t="n">
        <f aca="false">C27*100/F27</f>
        <v>4.33575270111417</v>
      </c>
      <c r="E27" s="11" t="n">
        <f aca="false">100*('US Raw Data'!B27/'US Raw Data'!B26-1)</f>
        <v>1.77721866165619</v>
      </c>
      <c r="F27" s="11" t="n">
        <f aca="false">'US Raw Data'!F26</f>
        <v>58.64541</v>
      </c>
      <c r="G27" s="11" t="n">
        <f aca="false">((1+D27/400)/(1+E27/100)-1)*F27</f>
        <v>-0.399477593348045</v>
      </c>
      <c r="H27" s="11" t="n">
        <f aca="false">4*(L27-F27-G27+B27/4)</f>
        <v>3.87515291699096</v>
      </c>
      <c r="I27" s="11" t="n">
        <f aca="false">F27*(1+D27/400)/(1+E27/100)-B27/4+H27/4</f>
        <v>59.44466</v>
      </c>
      <c r="J27" s="10" t="n">
        <f aca="false">(1+D27/400)*(F27/100*'US Raw Data'!B26)-B27/100*'US Raw Data'!B27/4+H27/100*'US Raw Data'!B27/4</f>
        <v>6997.9644757044</v>
      </c>
      <c r="K27" s="11" t="n">
        <f aca="false">J27/'US Raw Data'!B27*100</f>
        <v>59.44466</v>
      </c>
      <c r="L27" s="11" t="n">
        <f aca="false">'US Raw Data'!F27</f>
        <v>59.44466</v>
      </c>
      <c r="M27" s="11" t="n">
        <f aca="false">I27-L27</f>
        <v>0</v>
      </c>
    </row>
    <row r="28" customFormat="false" ht="15" hidden="false" customHeight="false" outlineLevel="0" collapsed="false">
      <c r="A28" s="0" t="str">
        <f aca="false">'US Construction'!A28</f>
        <v>2004-Q1</v>
      </c>
      <c r="B28" s="11" t="n">
        <f aca="false">'US Construction'!B28-'US Construction'!D28</f>
        <v>-1.09944716490122</v>
      </c>
      <c r="C28" s="11" t="n">
        <f aca="false">'US Construction'!H28</f>
        <v>2.53037783652619</v>
      </c>
      <c r="D28" s="11" t="n">
        <f aca="false">C28*100/F28</f>
        <v>4.25669494371098</v>
      </c>
      <c r="E28" s="11" t="n">
        <f aca="false">100*('US Raw Data'!B28/'US Raw Data'!B27-1)</f>
        <v>1.28448856860983</v>
      </c>
      <c r="F28" s="11" t="n">
        <f aca="false">'US Raw Data'!F27</f>
        <v>59.44466</v>
      </c>
      <c r="G28" s="11" t="n">
        <f aca="false">((1+D28/400)/(1+E28/100)-1)*F28</f>
        <v>-0.129304501674723</v>
      </c>
      <c r="H28" s="11" t="n">
        <f aca="false">4*(L28-F28-G28+B28/4)</f>
        <v>0.867530841797664</v>
      </c>
      <c r="I28" s="11" t="n">
        <f aca="false">F28*(1+D28/400)/(1+E28/100)-B28/4+H28/4</f>
        <v>59.8071</v>
      </c>
      <c r="J28" s="10" t="n">
        <f aca="false">(1+D28/400)*(F28/100*'US Raw Data'!B27)-B28/100*'US Raw Data'!B28/4+H28/100*'US Raw Data'!B28/4</f>
        <v>7131.067870737</v>
      </c>
      <c r="K28" s="11" t="n">
        <f aca="false">J28/'US Raw Data'!B28*100</f>
        <v>59.8071</v>
      </c>
      <c r="L28" s="11" t="n">
        <f aca="false">'US Raw Data'!F28</f>
        <v>59.8071</v>
      </c>
      <c r="M28" s="11" t="n">
        <f aca="false">I28-L28</f>
        <v>0</v>
      </c>
    </row>
    <row r="29" customFormat="false" ht="15" hidden="false" customHeight="false" outlineLevel="0" collapsed="false">
      <c r="A29" s="0" t="str">
        <f aca="false">'US Construction'!A29</f>
        <v>2004-Q2</v>
      </c>
      <c r="B29" s="11" t="n">
        <f aca="false">'US Construction'!B29-'US Construction'!D29</f>
        <v>-0.802918231641449</v>
      </c>
      <c r="C29" s="11" t="n">
        <f aca="false">'US Construction'!H29</f>
        <v>2.51320779972436</v>
      </c>
      <c r="D29" s="11" t="n">
        <f aca="false">C29*100/F29</f>
        <v>4.20218970611242</v>
      </c>
      <c r="E29" s="11" t="n">
        <f aca="false">100*('US Raw Data'!B29/'US Raw Data'!B28-1)</f>
        <v>1.588198446305</v>
      </c>
      <c r="F29" s="11" t="n">
        <f aca="false">'US Raw Data'!F28</f>
        <v>59.8071</v>
      </c>
      <c r="G29" s="11" t="n">
        <f aca="false">((1+D29/400)/(1+E29/100)-1)*F29</f>
        <v>-0.316526415436877</v>
      </c>
      <c r="H29" s="11" t="n">
        <f aca="false">4*(L29-F29-G29+B29/4)</f>
        <v>1.45426743010607</v>
      </c>
      <c r="I29" s="11" t="n">
        <f aca="false">F29*(1+D29/400)/(1+E29/100)-B29/4+H29/4</f>
        <v>60.05487</v>
      </c>
      <c r="J29" s="10" t="n">
        <f aca="false">(1+D29/400)*(F29/100*'US Raw Data'!B28)-B29/100*'US Raw Data'!B29/4+H29/100*'US Raw Data'!B29/4</f>
        <v>7274.3353015905</v>
      </c>
      <c r="K29" s="11" t="n">
        <f aca="false">J29/'US Raw Data'!B29*100</f>
        <v>60.05487</v>
      </c>
      <c r="L29" s="11" t="n">
        <f aca="false">'US Raw Data'!F29</f>
        <v>60.05487</v>
      </c>
      <c r="M29" s="11" t="n">
        <f aca="false">I29-L29</f>
        <v>0</v>
      </c>
    </row>
    <row r="30" customFormat="false" ht="15" hidden="false" customHeight="false" outlineLevel="0" collapsed="false">
      <c r="A30" s="0" t="str">
        <f aca="false">'US Construction'!A30</f>
        <v>2004-Q3</v>
      </c>
      <c r="B30" s="11" t="n">
        <f aca="false">'US Construction'!B30-'US Construction'!D30</f>
        <v>-0.469902945127657</v>
      </c>
      <c r="C30" s="11" t="n">
        <f aca="false">'US Construction'!H30</f>
        <v>2.54407418919549</v>
      </c>
      <c r="D30" s="11" t="n">
        <f aca="false">C30*100/F30</f>
        <v>4.23624959840142</v>
      </c>
      <c r="E30" s="11" t="n">
        <f aca="false">100*('US Raw Data'!B30/'US Raw Data'!B29-1)</f>
        <v>1.58915991039243</v>
      </c>
      <c r="F30" s="11" t="n">
        <f aca="false">'US Raw Data'!F29</f>
        <v>60.05487</v>
      </c>
      <c r="G30" s="11" t="n">
        <f aca="false">((1+D30/400)/(1+E30/100)-1)*F30</f>
        <v>-0.31336942963227</v>
      </c>
      <c r="H30" s="11" t="n">
        <f aca="false">4*(L30-F30-G30+B30/4)</f>
        <v>0.429814773401427</v>
      </c>
      <c r="I30" s="11" t="n">
        <f aca="false">F30*(1+D30/400)/(1+E30/100)-B30/4+H30/4</f>
        <v>59.96643</v>
      </c>
      <c r="J30" s="10" t="n">
        <f aca="false">(1+D30/400)*(F30/100*'US Raw Data'!B29)-B30/100*'US Raw Data'!B30/4+H30/100*'US Raw Data'!B30/4</f>
        <v>7379.0533084401</v>
      </c>
      <c r="K30" s="11" t="n">
        <f aca="false">J30/'US Raw Data'!B30*100</f>
        <v>59.96643</v>
      </c>
      <c r="L30" s="11" t="n">
        <f aca="false">'US Raw Data'!F30</f>
        <v>59.96643</v>
      </c>
      <c r="M30" s="11" t="n">
        <f aca="false">I30-L30</f>
        <v>0</v>
      </c>
    </row>
    <row r="31" customFormat="false" ht="15" hidden="false" customHeight="false" outlineLevel="0" collapsed="false">
      <c r="A31" s="0" t="str">
        <f aca="false">'US Construction'!A31</f>
        <v>2004-Q4</v>
      </c>
      <c r="B31" s="11" t="n">
        <f aca="false">'US Construction'!B31-'US Construction'!D31</f>
        <v>-0.508524880312578</v>
      </c>
      <c r="C31" s="11" t="n">
        <f aca="false">'US Construction'!H31</f>
        <v>2.5873877019078</v>
      </c>
      <c r="D31" s="11" t="n">
        <f aca="false">C31*100/F31</f>
        <v>4.31472692622823</v>
      </c>
      <c r="E31" s="11" t="n">
        <f aca="false">100*('US Raw Data'!B31/'US Raw Data'!B30-1)</f>
        <v>1.80334387431373</v>
      </c>
      <c r="F31" s="11" t="n">
        <f aca="false">'US Raw Data'!F30</f>
        <v>59.96643</v>
      </c>
      <c r="G31" s="11" t="n">
        <f aca="false">((1+D31/400)/(1+E31/100)-1)*F31</f>
        <v>-0.426856329109565</v>
      </c>
      <c r="H31" s="11" t="n">
        <f aca="false">4*(L31-F31-G31+B31/4)</f>
        <v>3.88170043612567</v>
      </c>
      <c r="I31" s="11" t="n">
        <f aca="false">F31*(1+D31/400)/(1+E31/100)-B31/4+H31/4</f>
        <v>60.63713</v>
      </c>
      <c r="J31" s="10" t="n">
        <f aca="false">(1+D31/400)*(F31/100*'US Raw Data'!B30)-B31/100*'US Raw Data'!B31/4+H31/100*'US Raw Data'!B31/4</f>
        <v>7596.1430385582</v>
      </c>
      <c r="K31" s="11" t="n">
        <f aca="false">J31/'US Raw Data'!B31*100</f>
        <v>60.63713</v>
      </c>
      <c r="L31" s="11" t="n">
        <f aca="false">'US Raw Data'!F31</f>
        <v>60.63713</v>
      </c>
      <c r="M31" s="11" t="n">
        <f aca="false">I31-L31</f>
        <v>0</v>
      </c>
    </row>
    <row r="32" customFormat="false" ht="15" hidden="false" customHeight="false" outlineLevel="0" collapsed="false">
      <c r="A32" s="0" t="str">
        <f aca="false">'US Construction'!A32</f>
        <v>2005-Q1</v>
      </c>
      <c r="B32" s="11" t="n">
        <f aca="false">'US Construction'!B32-'US Construction'!D32</f>
        <v>0.189374625116102</v>
      </c>
      <c r="C32" s="11" t="n">
        <f aca="false">'US Construction'!H32</f>
        <v>2.62953119504464</v>
      </c>
      <c r="D32" s="11" t="n">
        <f aca="false">C32*100/F32</f>
        <v>4.33650338504584</v>
      </c>
      <c r="E32" s="11" t="n">
        <f aca="false">100*('US Raw Data'!B32/'US Raw Data'!B31-1)</f>
        <v>1.91640375904811</v>
      </c>
      <c r="F32" s="11" t="n">
        <f aca="false">'US Raw Data'!F31</f>
        <v>60.63713</v>
      </c>
      <c r="G32" s="11" t="n">
        <f aca="false">((1+D32/400)/(1+E32/100)-1)*F32</f>
        <v>-0.49517979571854</v>
      </c>
      <c r="H32" s="11" t="n">
        <f aca="false">4*(L32-F32-G32+B32/4)</f>
        <v>3.27365380799028</v>
      </c>
      <c r="I32" s="11" t="n">
        <f aca="false">F32*(1+D32/400)/(1+E32/100)-B32/4+H32/4</f>
        <v>60.91302</v>
      </c>
      <c r="J32" s="10" t="n">
        <f aca="false">(1+D32/400)*(F32/100*'US Raw Data'!B31)-B32/100*'US Raw Data'!B32/4+H32/100*'US Raw Data'!B32/4</f>
        <v>7776.9394746372</v>
      </c>
      <c r="K32" s="11" t="n">
        <f aca="false">J32/'US Raw Data'!B32*100</f>
        <v>60.91302</v>
      </c>
      <c r="L32" s="11" t="n">
        <f aca="false">'US Raw Data'!F32</f>
        <v>60.91302</v>
      </c>
      <c r="M32" s="11" t="n">
        <f aca="false">I32-L32</f>
        <v>0</v>
      </c>
    </row>
    <row r="33" customFormat="false" ht="15" hidden="false" customHeight="false" outlineLevel="0" collapsed="false">
      <c r="A33" s="0" t="str">
        <f aca="false">'US Construction'!A33</f>
        <v>2005-Q2</v>
      </c>
      <c r="B33" s="11" t="n">
        <f aca="false">'US Construction'!B33-'US Construction'!D33</f>
        <v>0.285575968283911</v>
      </c>
      <c r="C33" s="11" t="n">
        <f aca="false">'US Construction'!H33</f>
        <v>2.69111226927947</v>
      </c>
      <c r="D33" s="11" t="n">
        <f aca="false">C33*100/F33</f>
        <v>4.41795903286271</v>
      </c>
      <c r="E33" s="11" t="n">
        <f aca="false">100*('US Raw Data'!B33/'US Raw Data'!B32-1)</f>
        <v>1.21693835322558</v>
      </c>
      <c r="F33" s="11" t="n">
        <f aca="false">'US Raw Data'!F32</f>
        <v>60.91302</v>
      </c>
      <c r="G33" s="11" t="n">
        <f aca="false">((1+D33/400)/(1+E33/100)-1)*F33</f>
        <v>-0.0676723049348301</v>
      </c>
      <c r="H33" s="11" t="n">
        <f aca="false">4*(L33-F33-G33+B33/4)</f>
        <v>-0.529694811976768</v>
      </c>
      <c r="I33" s="11" t="n">
        <f aca="false">F33*(1+D33/400)/(1+E33/100)-B33/4+H33/4</f>
        <v>60.64153</v>
      </c>
      <c r="J33" s="10" t="n">
        <f aca="false">(1+D33/400)*(F33/100*'US Raw Data'!B32)-B33/100*'US Raw Data'!B33/4+H33/100*'US Raw Data'!B33/4</f>
        <v>7836.4963150368</v>
      </c>
      <c r="K33" s="11" t="n">
        <f aca="false">J33/'US Raw Data'!B33*100</f>
        <v>60.64153</v>
      </c>
      <c r="L33" s="11" t="n">
        <f aca="false">'US Raw Data'!F33</f>
        <v>60.64153</v>
      </c>
      <c r="M33" s="11" t="n">
        <f aca="false">I33-L33</f>
        <v>0</v>
      </c>
    </row>
    <row r="34" customFormat="false" ht="15" hidden="false" customHeight="false" outlineLevel="0" collapsed="false">
      <c r="A34" s="0" t="str">
        <f aca="false">'US Construction'!A34</f>
        <v>2005-Q3</v>
      </c>
      <c r="B34" s="11" t="n">
        <f aca="false">'US Construction'!B34-'US Construction'!D34</f>
        <v>0.370070188322867</v>
      </c>
      <c r="C34" s="11" t="n">
        <f aca="false">'US Construction'!H34</f>
        <v>2.70244754638675</v>
      </c>
      <c r="D34" s="11" t="n">
        <f aca="false">C34*100/F34</f>
        <v>4.45643034795914</v>
      </c>
      <c r="E34" s="11" t="n">
        <f aca="false">100*('US Raw Data'!B34/'US Raw Data'!B33-1)</f>
        <v>1.70232806630464</v>
      </c>
      <c r="F34" s="11" t="n">
        <f aca="false">'US Raw Data'!F33</f>
        <v>60.64153</v>
      </c>
      <c r="G34" s="11" t="n">
        <f aca="false">((1+D34/400)/(1+E34/100)-1)*F34</f>
        <v>-0.350735234101338</v>
      </c>
      <c r="H34" s="11" t="n">
        <f aca="false">4*(L34-F34-G34+B34/4)</f>
        <v>0.641131124728193</v>
      </c>
      <c r="I34" s="11" t="n">
        <f aca="false">F34*(1+D34/400)/(1+E34/100)-B34/4+H34/4</f>
        <v>60.35856</v>
      </c>
      <c r="J34" s="10" t="n">
        <f aca="false">(1+D34/400)*(F34/100*'US Raw Data'!B33)-B34/100*'US Raw Data'!B34/4+H34/100*'US Raw Data'!B34/4</f>
        <v>7932.7094571552</v>
      </c>
      <c r="K34" s="11" t="n">
        <f aca="false">J34/'US Raw Data'!B34*100</f>
        <v>60.35856</v>
      </c>
      <c r="L34" s="11" t="n">
        <f aca="false">'US Raw Data'!F34</f>
        <v>60.35856</v>
      </c>
      <c r="M34" s="11" t="n">
        <f aca="false">I34-L34</f>
        <v>0</v>
      </c>
    </row>
    <row r="35" customFormat="false" ht="15" hidden="false" customHeight="false" outlineLevel="0" collapsed="false">
      <c r="A35" s="0" t="str">
        <f aca="false">'US Construction'!A35</f>
        <v>2005-Q4</v>
      </c>
      <c r="B35" s="11" t="n">
        <f aca="false">'US Construction'!B35-'US Construction'!D35</f>
        <v>0.696094115640982</v>
      </c>
      <c r="C35" s="11" t="n">
        <f aca="false">'US Construction'!H35</f>
        <v>2.70327686016252</v>
      </c>
      <c r="D35" s="11" t="n">
        <f aca="false">C35*100/F35</f>
        <v>4.47869674187475</v>
      </c>
      <c r="E35" s="11" t="n">
        <f aca="false">100*('US Raw Data'!B35/'US Raw Data'!B34-1)</f>
        <v>1.38147261410606</v>
      </c>
      <c r="F35" s="11" t="n">
        <f aca="false">'US Raw Data'!F34</f>
        <v>60.35856</v>
      </c>
      <c r="G35" s="11" t="n">
        <f aca="false">((1+D35/400)/(1+E35/100)-1)*F35</f>
        <v>-0.155864535751638</v>
      </c>
      <c r="H35" s="11" t="n">
        <f aca="false">4*(L35-F35-G35+B35/4)</f>
        <v>5.16563225864753</v>
      </c>
      <c r="I35" s="11" t="n">
        <f aca="false">F35*(1+D35/400)/(1+E35/100)-B35/4+H35/4</f>
        <v>61.32008</v>
      </c>
      <c r="J35" s="10" t="n">
        <f aca="false">(1+D35/400)*(F35/100*'US Raw Data'!B34)-B35/100*'US Raw Data'!B35/4+H35/100*'US Raw Data'!B35/4</f>
        <v>8170.4125521632</v>
      </c>
      <c r="K35" s="11" t="n">
        <f aca="false">J35/'US Raw Data'!B35*100</f>
        <v>61.32008</v>
      </c>
      <c r="L35" s="11" t="n">
        <f aca="false">'US Raw Data'!F35</f>
        <v>61.32008</v>
      </c>
      <c r="M35" s="11" t="n">
        <f aca="false">I35-L35</f>
        <v>0</v>
      </c>
    </row>
    <row r="36" customFormat="false" ht="15" hidden="false" customHeight="false" outlineLevel="0" collapsed="false">
      <c r="A36" s="0" t="str">
        <f aca="false">'US Construction'!A36</f>
        <v>2006-Q1</v>
      </c>
      <c r="B36" s="11" t="n">
        <f aca="false">'US Construction'!B36-'US Construction'!D36</f>
        <v>0.830345403686696</v>
      </c>
      <c r="C36" s="11" t="n">
        <f aca="false">'US Construction'!H36</f>
        <v>2.68840825313092</v>
      </c>
      <c r="D36" s="11" t="n">
        <f aca="false">C36*100/F36</f>
        <v>4.38422169888056</v>
      </c>
      <c r="E36" s="11" t="n">
        <f aca="false">100*('US Raw Data'!B36/'US Raw Data'!B35-1)</f>
        <v>2.06358293523576</v>
      </c>
      <c r="F36" s="11" t="n">
        <f aca="false">'US Raw Data'!F35</f>
        <v>61.32008</v>
      </c>
      <c r="G36" s="11" t="n">
        <f aca="false">((1+D36/400)/(1+E36/100)-1)*F36</f>
        <v>-0.581293176672688</v>
      </c>
      <c r="H36" s="11" t="n">
        <f aca="false">4*(L36-F36-G36+B36/4)</f>
        <v>4.10087811037747</v>
      </c>
      <c r="I36" s="11" t="n">
        <f aca="false">F36*(1+D36/400)/(1+E36/100)-B36/4+H36/4</f>
        <v>61.55642</v>
      </c>
      <c r="J36" s="10" t="n">
        <f aca="false">(1+D36/400)*(F36/100*'US Raw Data'!B35)-B36/100*'US Raw Data'!B36/4+H36/100*'US Raw Data'!B36/4</f>
        <v>8371.156046072</v>
      </c>
      <c r="K36" s="11" t="n">
        <f aca="false">J36/'US Raw Data'!B36*100</f>
        <v>61.55642</v>
      </c>
      <c r="L36" s="11" t="n">
        <f aca="false">'US Raw Data'!F36</f>
        <v>61.55642</v>
      </c>
      <c r="M36" s="11" t="n">
        <f aca="false">I36-L36</f>
        <v>0</v>
      </c>
    </row>
    <row r="37" customFormat="false" ht="15" hidden="false" customHeight="false" outlineLevel="0" collapsed="false">
      <c r="A37" s="0" t="str">
        <f aca="false">'US Construction'!A37</f>
        <v>2006-Q2</v>
      </c>
      <c r="B37" s="11" t="n">
        <f aca="false">'US Construction'!B37-'US Construction'!D37</f>
        <v>0.994915884219086</v>
      </c>
      <c r="C37" s="11" t="n">
        <f aca="false">'US Construction'!H37</f>
        <v>2.7017477550084</v>
      </c>
      <c r="D37" s="11" t="n">
        <f aca="false">C37*100/F37</f>
        <v>4.38905926466873</v>
      </c>
      <c r="E37" s="11" t="n">
        <f aca="false">100*('US Raw Data'!B37/'US Raw Data'!B36-1)</f>
        <v>1.13436418131709</v>
      </c>
      <c r="F37" s="11" t="n">
        <f aca="false">'US Raw Data'!F36</f>
        <v>61.55642</v>
      </c>
      <c r="G37" s="11" t="n">
        <f aca="false">((1+D37/400)/(1+E37/100)-1)*F37</f>
        <v>-0.0225808914841906</v>
      </c>
      <c r="H37" s="11" t="n">
        <f aca="false">4*(L37-F37-G37+B37/4)</f>
        <v>-0.254760549844155</v>
      </c>
      <c r="I37" s="11" t="n">
        <f aca="false">F37*(1+D37/400)/(1+E37/100)-B37/4+H37/4</f>
        <v>61.22142</v>
      </c>
      <c r="J37" s="10" t="n">
        <f aca="false">(1+D37/400)*(F37/100*'US Raw Data'!B36)-B37/100*'US Raw Data'!B37/4+H37/100*'US Raw Data'!B37/4</f>
        <v>8420.0414714208</v>
      </c>
      <c r="K37" s="11" t="n">
        <f aca="false">J37/'US Raw Data'!B37*100</f>
        <v>61.22142</v>
      </c>
      <c r="L37" s="11" t="n">
        <f aca="false">'US Raw Data'!F37</f>
        <v>61.22142</v>
      </c>
      <c r="M37" s="11" t="n">
        <f aca="false">I37-L37</f>
        <v>0</v>
      </c>
    </row>
    <row r="38" customFormat="false" ht="15" hidden="false" customHeight="false" outlineLevel="0" collapsed="false">
      <c r="A38" s="0" t="str">
        <f aca="false">'US Construction'!A38</f>
        <v>2006-Q3</v>
      </c>
      <c r="B38" s="11" t="n">
        <f aca="false">'US Construction'!B38-'US Construction'!D38</f>
        <v>1.17841228972527</v>
      </c>
      <c r="C38" s="11" t="n">
        <f aca="false">'US Construction'!H38</f>
        <v>2.73603867662336</v>
      </c>
      <c r="D38" s="11" t="n">
        <f aca="false">C38*100/F38</f>
        <v>4.46908725185297</v>
      </c>
      <c r="E38" s="11" t="n">
        <f aca="false">100*('US Raw Data'!B38/'US Raw Data'!B37-1)</f>
        <v>0.848981315489139</v>
      </c>
      <c r="F38" s="11" t="n">
        <f aca="false">'US Raw Data'!F37</f>
        <v>61.22142</v>
      </c>
      <c r="G38" s="11" t="n">
        <f aca="false">((1+D38/400)/(1+E38/100)-1)*F38</f>
        <v>0.162868528899532</v>
      </c>
      <c r="H38" s="11" t="n">
        <f aca="false">4*(L38-F38-G38+B38/4)</f>
        <v>0.972458174127132</v>
      </c>
      <c r="I38" s="11" t="n">
        <f aca="false">F38*(1+D38/400)/(1+E38/100)-B38/4+H38/4</f>
        <v>61.3328</v>
      </c>
      <c r="J38" s="10" t="n">
        <f aca="false">(1+D38/400)*(F38/100*'US Raw Data'!B37)-B38/100*'US Raw Data'!B38/4+H38/100*'US Raw Data'!B38/4</f>
        <v>8506.974665664</v>
      </c>
      <c r="K38" s="11" t="n">
        <f aca="false">J38/'US Raw Data'!B38*100</f>
        <v>61.3328</v>
      </c>
      <c r="L38" s="11" t="n">
        <f aca="false">'US Raw Data'!F38</f>
        <v>61.3328</v>
      </c>
      <c r="M38" s="11" t="n">
        <f aca="false">I38-L38</f>
        <v>0</v>
      </c>
    </row>
    <row r="39" customFormat="false" ht="15" hidden="false" customHeight="false" outlineLevel="0" collapsed="false">
      <c r="A39" s="0" t="str">
        <f aca="false">'US Construction'!A39</f>
        <v>2006-Q4</v>
      </c>
      <c r="B39" s="11" t="n">
        <f aca="false">'US Construction'!B39-'US Construction'!D39</f>
        <v>1.33814022661679</v>
      </c>
      <c r="C39" s="11" t="n">
        <f aca="false">'US Construction'!H39</f>
        <v>2.78961611767627</v>
      </c>
      <c r="D39" s="11" t="n">
        <f aca="false">C39*100/F39</f>
        <v>4.54832669905217</v>
      </c>
      <c r="E39" s="11" t="n">
        <f aca="false">100*('US Raw Data'!B39/'US Raw Data'!B38-1)</f>
        <v>1.22112259761726</v>
      </c>
      <c r="F39" s="11" t="n">
        <f aca="false">'US Raw Data'!F38</f>
        <v>61.3328</v>
      </c>
      <c r="G39" s="11" t="n">
        <f aca="false">((1+D39/400)/(1+E39/100)-1)*F39</f>
        <v>-0.0509228210570591</v>
      </c>
      <c r="H39" s="11" t="n">
        <f aca="false">4*(L39-F39-G39+B39/4)</f>
        <v>3.51819151084503</v>
      </c>
      <c r="I39" s="11" t="n">
        <f aca="false">F39*(1+D39/400)/(1+E39/100)-B39/4+H39/4</f>
        <v>61.82689</v>
      </c>
      <c r="J39" s="10" t="n">
        <f aca="false">(1+D39/400)*(F39/100*'US Raw Data'!B38)-B39/100*'US Raw Data'!B39/4+H39/100*'US Raw Data'!B39/4</f>
        <v>8680.223317684</v>
      </c>
      <c r="K39" s="11" t="n">
        <f aca="false">J39/'US Raw Data'!B39*100</f>
        <v>61.82689</v>
      </c>
      <c r="L39" s="11" t="n">
        <f aca="false">'US Raw Data'!F39</f>
        <v>61.82689</v>
      </c>
      <c r="M39" s="11" t="n">
        <f aca="false">I39-L39</f>
        <v>0</v>
      </c>
    </row>
    <row r="40" customFormat="false" ht="15" hidden="false" customHeight="false" outlineLevel="0" collapsed="false">
      <c r="A40" s="0" t="str">
        <f aca="false">'US Construction'!A40</f>
        <v>2007-Q1</v>
      </c>
      <c r="B40" s="11" t="n">
        <f aca="false">'US Construction'!B40-'US Construction'!D40</f>
        <v>1.30960587031857</v>
      </c>
      <c r="C40" s="11" t="n">
        <f aca="false">'US Construction'!H40</f>
        <v>2.82066531999578</v>
      </c>
      <c r="D40" s="11" t="n">
        <f aca="false">C40*100/F40</f>
        <v>4.5621982926778</v>
      </c>
      <c r="E40" s="11" t="n">
        <f aca="false">100*('US Raw Data'!B40/'US Raw Data'!B39-1)</f>
        <v>1.25424870864899</v>
      </c>
      <c r="F40" s="11" t="n">
        <f aca="false">'US Raw Data'!F39</f>
        <v>61.82689</v>
      </c>
      <c r="G40" s="11" t="n">
        <f aca="false">((1+D40/400)/(1+E40/100)-1)*F40</f>
        <v>-0.0694258663912031</v>
      </c>
      <c r="H40" s="11" t="n">
        <f aca="false">4*(L40-F40-G40+B40/4)</f>
        <v>3.29162933588338</v>
      </c>
      <c r="I40" s="11" t="n">
        <f aca="false">F40*(1+D40/400)/(1+E40/100)-B40/4+H40/4</f>
        <v>62.25297</v>
      </c>
      <c r="J40" s="10" t="n">
        <f aca="false">(1+D40/400)*(F40/100*'US Raw Data'!B39)-B40/100*'US Raw Data'!B40/4+H40/100*'US Raw Data'!B40/4</f>
        <v>8849.6649523347</v>
      </c>
      <c r="K40" s="11" t="n">
        <f aca="false">J40/'US Raw Data'!B40*100</f>
        <v>62.25297</v>
      </c>
      <c r="L40" s="11" t="n">
        <f aca="false">'US Raw Data'!F40</f>
        <v>62.25297</v>
      </c>
      <c r="M40" s="11" t="n">
        <f aca="false">I40-L40</f>
        <v>0</v>
      </c>
    </row>
    <row r="41" customFormat="false" ht="15" hidden="false" customHeight="false" outlineLevel="0" collapsed="false">
      <c r="A41" s="0" t="str">
        <f aca="false">'US Construction'!A41</f>
        <v>2007-Q2</v>
      </c>
      <c r="B41" s="11" t="n">
        <f aca="false">'US Construction'!B41-'US Construction'!D41</f>
        <v>1.22841961321981</v>
      </c>
      <c r="C41" s="11" t="n">
        <f aca="false">'US Construction'!H41</f>
        <v>2.86947112024627</v>
      </c>
      <c r="D41" s="11" t="n">
        <f aca="false">C41*100/F41</f>
        <v>4.609372244001</v>
      </c>
      <c r="E41" s="11" t="n">
        <f aca="false">100*('US Raw Data'!B41/'US Raw Data'!B40-1)</f>
        <v>1.3114489093746</v>
      </c>
      <c r="F41" s="11" t="n">
        <f aca="false">'US Raw Data'!F40</f>
        <v>62.25297</v>
      </c>
      <c r="G41" s="11" t="n">
        <f aca="false">((1+D41/400)/(1+E41/100)-1)*F41</f>
        <v>-0.0977659653701441</v>
      </c>
      <c r="H41" s="11" t="n">
        <f aca="false">4*(L41-F41-G41+B41/4)</f>
        <v>-1.10363652529961</v>
      </c>
      <c r="I41" s="11" t="n">
        <f aca="false">F41*(1+D41/400)/(1+E41/100)-B41/4+H41/4</f>
        <v>61.57219</v>
      </c>
      <c r="J41" s="10" t="n">
        <f aca="false">(1+D41/400)*(F41/100*'US Raw Data'!B40)-B41/100*'US Raw Data'!B41/4+H41/100*'US Raw Data'!B41/4</f>
        <v>8867.6772929958</v>
      </c>
      <c r="K41" s="11" t="n">
        <f aca="false">J41/'US Raw Data'!B41*100</f>
        <v>61.57219</v>
      </c>
      <c r="L41" s="11" t="n">
        <f aca="false">'US Raw Data'!F41</f>
        <v>61.57219</v>
      </c>
      <c r="M41" s="11" t="n">
        <f aca="false">I41-L41</f>
        <v>0</v>
      </c>
    </row>
    <row r="42" customFormat="false" ht="15" hidden="false" customHeight="false" outlineLevel="0" collapsed="false">
      <c r="A42" s="0" t="str">
        <f aca="false">'US Construction'!A42</f>
        <v>2007-Q3</v>
      </c>
      <c r="B42" s="11" t="n">
        <f aca="false">'US Construction'!B42-'US Construction'!D42</f>
        <v>0.928137284258291</v>
      </c>
      <c r="C42" s="11" t="n">
        <f aca="false">'US Construction'!H42</f>
        <v>2.8757231072563</v>
      </c>
      <c r="D42" s="11" t="n">
        <f aca="false">C42*100/F42</f>
        <v>4.67049021198742</v>
      </c>
      <c r="E42" s="11" t="n">
        <f aca="false">100*('US Raw Data'!B42/'US Raw Data'!B41-1)</f>
        <v>1.12508038768284</v>
      </c>
      <c r="F42" s="11" t="n">
        <f aca="false">'US Raw Data'!F41</f>
        <v>61.57219</v>
      </c>
      <c r="G42" s="11" t="n">
        <f aca="false">((1+D42/400)/(1+E42/100)-1)*F42</f>
        <v>0.0259027164743295</v>
      </c>
      <c r="H42" s="11" t="n">
        <f aca="false">4*(L42-F42-G42+B42/4)</f>
        <v>1.92880641836099</v>
      </c>
      <c r="I42" s="11" t="n">
        <f aca="false">F42*(1+D42/400)/(1+E42/100)-B42/4+H42/4</f>
        <v>61.84826</v>
      </c>
      <c r="J42" s="10" t="n">
        <f aca="false">(1+D42/400)*(F42/100*'US Raw Data'!B41)-B42/100*'US Raw Data'!B42/4+H42/100*'US Raw Data'!B42/4</f>
        <v>9007.6529488642</v>
      </c>
      <c r="K42" s="11" t="n">
        <f aca="false">J42/'US Raw Data'!B42*100</f>
        <v>61.84826</v>
      </c>
      <c r="L42" s="11" t="n">
        <f aca="false">'US Raw Data'!F42</f>
        <v>61.84826</v>
      </c>
      <c r="M42" s="11" t="n">
        <f aca="false">I42-L42</f>
        <v>0</v>
      </c>
    </row>
    <row r="43" customFormat="false" ht="15" hidden="false" customHeight="false" outlineLevel="0" collapsed="false">
      <c r="A43" s="0" t="str">
        <f aca="false">'US Construction'!A43</f>
        <v>2007-Q4</v>
      </c>
      <c r="B43" s="11" t="n">
        <f aca="false">'US Construction'!B43-'US Construction'!D43</f>
        <v>0.64521662096065</v>
      </c>
      <c r="C43" s="11" t="n">
        <f aca="false">'US Construction'!H43</f>
        <v>2.84140123290688</v>
      </c>
      <c r="D43" s="11" t="n">
        <f aca="false">C43*100/F43</f>
        <v>4.59414902360532</v>
      </c>
      <c r="E43" s="11" t="n">
        <f aca="false">100*('US Raw Data'!B43/'US Raw Data'!B42-1)</f>
        <v>1.03638964174759</v>
      </c>
      <c r="F43" s="11" t="n">
        <f aca="false">'US Raw Data'!F42</f>
        <v>61.84826</v>
      </c>
      <c r="G43" s="11" t="n">
        <f aca="false">((1+D43/400)/(1+E43/100)-1)*F43</f>
        <v>0.0686498678659671</v>
      </c>
      <c r="H43" s="11" t="n">
        <f aca="false">4*(L43-F43-G43+B43/4)</f>
        <v>3.85453714949676</v>
      </c>
      <c r="I43" s="11" t="n">
        <f aca="false">F43*(1+D43/400)/(1+E43/100)-B43/4+H43/4</f>
        <v>62.71924</v>
      </c>
      <c r="J43" s="10" t="n">
        <f aca="false">(1+D43/400)*(F43/100*'US Raw Data'!B42)-B43/100*'US Raw Data'!B43/4+H43/100*'US Raw Data'!B43/4</f>
        <v>9229.1725431592</v>
      </c>
      <c r="K43" s="11" t="n">
        <f aca="false">J43/'US Raw Data'!B43*100</f>
        <v>62.71924</v>
      </c>
      <c r="L43" s="11" t="n">
        <f aca="false">'US Raw Data'!F43</f>
        <v>62.71924</v>
      </c>
      <c r="M43" s="11" t="n">
        <f aca="false">I43-L43</f>
        <v>0</v>
      </c>
    </row>
    <row r="44" customFormat="false" ht="15" hidden="false" customHeight="false" outlineLevel="0" collapsed="false">
      <c r="A44" s="0" t="str">
        <f aca="false">'US Construction'!A44</f>
        <v>2008-Q1</v>
      </c>
      <c r="B44" s="11" t="n">
        <f aca="false">'US Construction'!B44-'US Construction'!D44</f>
        <v>-0.00747966652654952</v>
      </c>
      <c r="C44" s="11" t="n">
        <f aca="false">'US Construction'!H44</f>
        <v>2.74190560444954</v>
      </c>
      <c r="D44" s="11" t="n">
        <f aca="false">C44*100/F44</f>
        <v>4.37171369495156</v>
      </c>
      <c r="E44" s="11" t="n">
        <f aca="false">100*('US Raw Data'!B44/'US Raw Data'!B43-1)</f>
        <v>-0.05789987372119</v>
      </c>
      <c r="F44" s="11" t="n">
        <f aca="false">'US Raw Data'!F43</f>
        <v>62.71924</v>
      </c>
      <c r="G44" s="11" t="n">
        <f aca="false">((1+D44/400)/(1+E44/100)-1)*F44</f>
        <v>0.722208919923912</v>
      </c>
      <c r="H44" s="11" t="n">
        <f aca="false">4*(L44-F44-G44+B44/4)</f>
        <v>2.91784465377782</v>
      </c>
      <c r="I44" s="11" t="n">
        <f aca="false">F44*(1+D44/400)/(1+E44/100)-B44/4+H44/4</f>
        <v>64.17278</v>
      </c>
      <c r="J44" s="10" t="n">
        <f aca="false">(1+D44/400)*(F44/100*'US Raw Data'!B43)-B44/100*'US Raw Data'!B44/4+H44/100*'US Raw Data'!B44/4</f>
        <v>9437.5942763564</v>
      </c>
      <c r="K44" s="11" t="n">
        <f aca="false">J44/'US Raw Data'!B44*100</f>
        <v>64.17278</v>
      </c>
      <c r="L44" s="11" t="n">
        <f aca="false">'US Raw Data'!F44</f>
        <v>64.17278</v>
      </c>
      <c r="M44" s="11" t="n">
        <f aca="false">I44-L44</f>
        <v>0</v>
      </c>
    </row>
    <row r="45" customFormat="false" ht="15" hidden="false" customHeight="false" outlineLevel="0" collapsed="false">
      <c r="A45" s="0" t="str">
        <f aca="false">'US Construction'!A45</f>
        <v>2008-Q2</v>
      </c>
      <c r="B45" s="11" t="n">
        <f aca="false">'US Construction'!B45-'US Construction'!D45</f>
        <v>-2.61067406104831</v>
      </c>
      <c r="C45" s="11" t="n">
        <f aca="false">'US Construction'!H45</f>
        <v>2.64066906841025</v>
      </c>
      <c r="D45" s="11" t="n">
        <f aca="false">C45*100/F45</f>
        <v>4.1149363770905</v>
      </c>
      <c r="E45" s="11" t="n">
        <f aca="false">100*('US Raw Data'!B45/'US Raw Data'!B44-1)</f>
        <v>1.08226014851354</v>
      </c>
      <c r="F45" s="11" t="n">
        <f aca="false">'US Raw Data'!F44</f>
        <v>64.17278</v>
      </c>
      <c r="G45" s="11" t="n">
        <f aca="false">((1+D45/400)/(1+E45/100)-1)*F45</f>
        <v>-0.0339813899889409</v>
      </c>
      <c r="H45" s="11" t="n">
        <f aca="false">4*(L45-F45-G45+B45/4)</f>
        <v>-3.75898850109256</v>
      </c>
      <c r="I45" s="11" t="n">
        <f aca="false">F45*(1+D45/400)/(1+E45/100)-B45/4+H45/4</f>
        <v>63.85172</v>
      </c>
      <c r="J45" s="10" t="n">
        <f aca="false">(1+D45/400)*(F45/100*'US Raw Data'!B44)-B45/100*'US Raw Data'!B45/4+H45/100*'US Raw Data'!B45/4</f>
        <v>9492.0057785572</v>
      </c>
      <c r="K45" s="11" t="n">
        <f aca="false">J45/'US Raw Data'!B45*100</f>
        <v>63.85172</v>
      </c>
      <c r="L45" s="11" t="n">
        <f aca="false">'US Raw Data'!F45</f>
        <v>63.85172</v>
      </c>
      <c r="M45" s="11" t="n">
        <f aca="false">I45-L45</f>
        <v>0</v>
      </c>
    </row>
    <row r="46" customFormat="false" ht="15" hidden="false" customHeight="false" outlineLevel="0" collapsed="false">
      <c r="A46" s="0" t="str">
        <f aca="false">'US Construction'!A46</f>
        <v>2008-Q3</v>
      </c>
      <c r="B46" s="11" t="n">
        <f aca="false">'US Construction'!B46-'US Construction'!D46</f>
        <v>-1.59331509452413</v>
      </c>
      <c r="C46" s="11" t="n">
        <f aca="false">'US Construction'!H46</f>
        <v>2.57069612795253</v>
      </c>
      <c r="D46" s="11" t="n">
        <f aca="false">C46*100/F46</f>
        <v>4.02604053258476</v>
      </c>
      <c r="E46" s="11" t="n">
        <f aca="false">100*('US Raw Data'!B46/'US Raw Data'!B45-1)</f>
        <v>0.22399212791917</v>
      </c>
      <c r="F46" s="11" t="n">
        <f aca="false">'US Raw Data'!F45</f>
        <v>63.85172</v>
      </c>
      <c r="G46" s="11" t="n">
        <f aca="false">((1+D46/400)/(1+E46/100)-1)*F46</f>
        <v>0.49853452755047</v>
      </c>
      <c r="H46" s="11" t="n">
        <f aca="false">4*(L46-F46-G46+B46/4)</f>
        <v>10.143866795274</v>
      </c>
      <c r="I46" s="11" t="n">
        <f aca="false">F46*(1+D46/400)/(1+E46/100)-B46/4+H46/4</f>
        <v>67.28455</v>
      </c>
      <c r="J46" s="10" t="n">
        <f aca="false">(1+D46/400)*(F46/100*'US Raw Data'!B45)-B46/100*'US Raw Data'!B46/4+H46/100*'US Raw Data'!B46/4</f>
        <v>10024.7244316545</v>
      </c>
      <c r="K46" s="11" t="n">
        <f aca="false">J46/'US Raw Data'!B46*100</f>
        <v>67.28455</v>
      </c>
      <c r="L46" s="11" t="n">
        <f aca="false">'US Raw Data'!F46</f>
        <v>67.28455</v>
      </c>
      <c r="M46" s="11" t="n">
        <f aca="false">I46-L46</f>
        <v>0</v>
      </c>
    </row>
    <row r="47" customFormat="false" ht="15" hidden="false" customHeight="false" outlineLevel="0" collapsed="false">
      <c r="A47" s="0" t="str">
        <f aca="false">'US Construction'!A47</f>
        <v>2008-Q4</v>
      </c>
      <c r="B47" s="11" t="n">
        <f aca="false">'US Construction'!B47-'US Construction'!D47</f>
        <v>-2.18763984003788</v>
      </c>
      <c r="C47" s="11" t="n">
        <f aca="false">'US Construction'!H47</f>
        <v>2.54791613852716</v>
      </c>
      <c r="D47" s="11" t="n">
        <f aca="false">C47*100/F47</f>
        <v>3.78677740807832</v>
      </c>
      <c r="E47" s="11" t="n">
        <f aca="false">100*('US Raw Data'!B47/'US Raw Data'!B46-1)</f>
        <v>-1.9517418586309</v>
      </c>
      <c r="F47" s="11" t="n">
        <f aca="false">'US Raw Data'!F46</f>
        <v>67.28455</v>
      </c>
      <c r="G47" s="11" t="n">
        <f aca="false">((1+D47/400)/(1+E47/100)-1)*F47</f>
        <v>1.98902030320759</v>
      </c>
      <c r="H47" s="11" t="n">
        <f aca="false">4*(L47-F47-G47+B47/4)</f>
        <v>13.6986789471318</v>
      </c>
      <c r="I47" s="11" t="n">
        <f aca="false">F47*(1+D47/400)/(1+E47/100)-B47/4+H47/4</f>
        <v>73.24515</v>
      </c>
      <c r="J47" s="10" t="n">
        <f aca="false">(1+D47/400)*(F47/100*'US Raw Data'!B46)-B47/100*'US Raw Data'!B47/4+H47/100*'US Raw Data'!B47/4</f>
        <v>10699.8045943635</v>
      </c>
      <c r="K47" s="11" t="n">
        <f aca="false">J47/'US Raw Data'!B47*100</f>
        <v>73.24515</v>
      </c>
      <c r="L47" s="11" t="n">
        <f aca="false">'US Raw Data'!F47</f>
        <v>73.24515</v>
      </c>
      <c r="M47" s="11" t="n">
        <f aca="false">I47-L47</f>
        <v>0</v>
      </c>
    </row>
    <row r="48" customFormat="false" ht="15" hidden="false" customHeight="false" outlineLevel="0" collapsed="false">
      <c r="A48" s="0" t="str">
        <f aca="false">'US Construction'!A48</f>
        <v>2009-Q1</v>
      </c>
      <c r="B48" s="11" t="n">
        <f aca="false">'US Construction'!B48-'US Construction'!D48</f>
        <v>-5.11717146994692</v>
      </c>
      <c r="C48" s="11" t="n">
        <f aca="false">'US Construction'!H48</f>
        <v>2.47716198474433</v>
      </c>
      <c r="D48" s="11" t="n">
        <f aca="false">C48*100/F48</f>
        <v>3.38201503409349</v>
      </c>
      <c r="E48" s="11" t="n">
        <f aca="false">100*('US Raw Data'!B48/'US Raw Data'!B47-1)</f>
        <v>-1.21374906396808</v>
      </c>
      <c r="F48" s="11" t="n">
        <f aca="false">'US Raw Data'!F47</f>
        <v>73.24515</v>
      </c>
      <c r="G48" s="11" t="n">
        <f aca="false">((1+D48/400)/(1+E48/100)-1)*F48</f>
        <v>1.52683476133717</v>
      </c>
      <c r="H48" s="11" t="n">
        <f aca="false">4*(L48-F48-G48+B48/4)</f>
        <v>4.21472948470445</v>
      </c>
      <c r="I48" s="11" t="n">
        <f aca="false">F48*(1+D48/400)/(1+E48/100)-B48/4+H48/4</f>
        <v>77.10496</v>
      </c>
      <c r="J48" s="10" t="n">
        <f aca="false">(1+D48/400)*(F48/100*'US Raw Data'!B47)-B48/100*'US Raw Data'!B48/4+H48/100*'US Raw Data'!B48/4</f>
        <v>11126.9412147392</v>
      </c>
      <c r="K48" s="11" t="n">
        <f aca="false">J48/'US Raw Data'!B48*100</f>
        <v>77.10496</v>
      </c>
      <c r="L48" s="11" t="n">
        <f aca="false">'US Raw Data'!F48</f>
        <v>77.10496</v>
      </c>
      <c r="M48" s="11" t="n">
        <f aca="false">I48-L48</f>
        <v>0</v>
      </c>
    </row>
    <row r="49" customFormat="false" ht="15" hidden="false" customHeight="false" outlineLevel="0" collapsed="false">
      <c r="A49" s="0" t="str">
        <f aca="false">'US Construction'!A49</f>
        <v>2009-Q2</v>
      </c>
      <c r="B49" s="11" t="n">
        <f aca="false">'US Construction'!B49-'US Construction'!D49</f>
        <v>-6.59688082442983</v>
      </c>
      <c r="C49" s="11" t="n">
        <f aca="false">'US Construction'!H49</f>
        <v>2.44013853049518</v>
      </c>
      <c r="D49" s="11" t="n">
        <f aca="false">C49*100/F49</f>
        <v>3.16469722634599</v>
      </c>
      <c r="E49" s="11" t="n">
        <f aca="false">100*('US Raw Data'!B49/'US Raw Data'!B48-1)</f>
        <v>-0.344164210941211</v>
      </c>
      <c r="F49" s="11" t="n">
        <f aca="false">'US Raw Data'!F48</f>
        <v>77.10496</v>
      </c>
      <c r="G49" s="11" t="n">
        <f aca="false">((1+D49/400)/(1+E49/100)-1)*F49</f>
        <v>0.878425536119431</v>
      </c>
      <c r="H49" s="11" t="n">
        <f aca="false">4*(L49-F49-G49+B49/4)</f>
        <v>2.59009703109242</v>
      </c>
      <c r="I49" s="11" t="n">
        <f aca="false">F49*(1+D49/400)/(1+E49/100)-B49/4+H49/4</f>
        <v>80.28013</v>
      </c>
      <c r="J49" s="10" t="n">
        <f aca="false">(1+D49/400)*(F49/100*'US Raw Data'!B48)-B49/100*'US Raw Data'!B49/4+H49/100*'US Raw Data'!B49/4</f>
        <v>11545.2749564068</v>
      </c>
      <c r="K49" s="11" t="n">
        <f aca="false">J49/'US Raw Data'!B49*100</f>
        <v>80.28013</v>
      </c>
      <c r="L49" s="11" t="n">
        <f aca="false">'US Raw Data'!F49</f>
        <v>80.28013</v>
      </c>
      <c r="M49" s="11" t="n">
        <f aca="false">I49-L49</f>
        <v>0</v>
      </c>
    </row>
    <row r="50" customFormat="false" ht="15" hidden="false" customHeight="false" outlineLevel="0" collapsed="false">
      <c r="A50" s="0" t="str">
        <f aca="false">'US Construction'!A50</f>
        <v>2009-Q3</v>
      </c>
      <c r="B50" s="11" t="n">
        <f aca="false">'US Construction'!B50-'US Construction'!D50</f>
        <v>-6.62393810123163</v>
      </c>
      <c r="C50" s="11" t="n">
        <f aca="false">'US Construction'!H50</f>
        <v>2.43593109799464</v>
      </c>
      <c r="D50" s="11" t="n">
        <f aca="false">C50*100/F50</f>
        <v>3.03428893051697</v>
      </c>
      <c r="E50" s="11" t="n">
        <f aca="false">100*('US Raw Data'!B50/'US Raw Data'!B49-1)</f>
        <v>0.470376816012186</v>
      </c>
      <c r="F50" s="11" t="n">
        <f aca="false">'US Raw Data'!F49</f>
        <v>80.28013</v>
      </c>
      <c r="G50" s="11" t="n">
        <f aca="false">((1+D50/400)/(1+E50/100)-1)*F50</f>
        <v>0.230280469175424</v>
      </c>
      <c r="H50" s="11" t="n">
        <f aca="false">4*(L50-F50-G50+B50/4)</f>
        <v>1.04374002206666</v>
      </c>
      <c r="I50" s="11" t="n">
        <f aca="false">F50*(1+D50/400)/(1+E50/100)-B50/4+H50/4</f>
        <v>82.42733</v>
      </c>
      <c r="J50" s="10" t="n">
        <f aca="false">(1+D50/400)*(F50/100*'US Raw Data'!B49)-B50/100*'US Raw Data'!B50/4+H50/100*'US Raw Data'!B50/4</f>
        <v>11909.8276474506</v>
      </c>
      <c r="K50" s="11" t="n">
        <f aca="false">J50/'US Raw Data'!B50*100</f>
        <v>82.42733</v>
      </c>
      <c r="L50" s="11" t="n">
        <f aca="false">'US Raw Data'!F50</f>
        <v>82.42733</v>
      </c>
      <c r="M50" s="11" t="n">
        <f aca="false">I50-L50</f>
        <v>0</v>
      </c>
    </row>
    <row r="51" customFormat="false" ht="15" hidden="false" customHeight="false" outlineLevel="0" collapsed="false">
      <c r="A51" s="0" t="str">
        <f aca="false">'US Construction'!A51</f>
        <v>2009-Q4</v>
      </c>
      <c r="B51" s="11" t="n">
        <f aca="false">'US Construction'!B51-'US Construction'!D51</f>
        <v>-6.21323137706553</v>
      </c>
      <c r="C51" s="11" t="n">
        <f aca="false">'US Construction'!H51</f>
        <v>2.44870848831072</v>
      </c>
      <c r="D51" s="11" t="n">
        <f aca="false">C51*100/F51</f>
        <v>2.97074828010409</v>
      </c>
      <c r="E51" s="11" t="n">
        <f aca="false">100*('US Raw Data'!B51/'US Raw Data'!B50-1)</f>
        <v>1.4005720304173</v>
      </c>
      <c r="F51" s="11" t="n">
        <f aca="false">'US Raw Data'!F50</f>
        <v>82.42733</v>
      </c>
      <c r="G51" s="11" t="n">
        <f aca="false">((1+D51/400)/(1+E51/100)-1)*F51</f>
        <v>-0.53478693114218</v>
      </c>
      <c r="H51" s="11" t="n">
        <f aca="false">4*(L51-F51-G51+B51/4)</f>
        <v>2.33399634750317</v>
      </c>
      <c r="I51" s="11" t="n">
        <f aca="false">F51*(1+D51/400)/(1+E51/100)-B51/4+H51/4</f>
        <v>84.02935</v>
      </c>
      <c r="J51" s="10" t="n">
        <f aca="false">(1+D51/400)*(F51/100*'US Raw Data'!B50)-B51/100*'US Raw Data'!B51/4+H51/100*'US Raw Data'!B51/4</f>
        <v>12311.3493015815</v>
      </c>
      <c r="K51" s="11" t="n">
        <f aca="false">J51/'US Raw Data'!B51*100</f>
        <v>84.02935</v>
      </c>
      <c r="L51" s="11" t="n">
        <f aca="false">'US Raw Data'!F51</f>
        <v>84.02935</v>
      </c>
      <c r="M51" s="11" t="n">
        <f aca="false">I51-L51</f>
        <v>0</v>
      </c>
    </row>
    <row r="52" customFormat="false" ht="15" hidden="false" customHeight="false" outlineLevel="0" collapsed="false">
      <c r="A52" s="0" t="str">
        <f aca="false">'US Construction'!A52</f>
        <v>2010-Q1</v>
      </c>
      <c r="B52" s="11" t="n">
        <f aca="false">'US Construction'!B52-'US Construction'!D52</f>
        <v>-6.6656552391157</v>
      </c>
      <c r="C52" s="11" t="n">
        <f aca="false">'US Construction'!H52</f>
        <v>2.45888934110669</v>
      </c>
      <c r="D52" s="11" t="n">
        <f aca="false">C52*100/F52</f>
        <v>2.92622677803254</v>
      </c>
      <c r="E52" s="11" t="n">
        <f aca="false">100*('US Raw Data'!B52/'US Raw Data'!B51-1)</f>
        <v>0.773729256802613</v>
      </c>
      <c r="F52" s="11" t="n">
        <f aca="false">'US Raw Data'!F51</f>
        <v>84.02935</v>
      </c>
      <c r="G52" s="11" t="n">
        <f aca="false">((1+D52/400)/(1+E52/100)-1)*F52</f>
        <v>-0.0351652461765038</v>
      </c>
      <c r="H52" s="11" t="n">
        <f aca="false">4*(L52-F52-G52+B52/4)</f>
        <v>3.40460574559037</v>
      </c>
      <c r="I52" s="11" t="n">
        <f aca="false">F52*(1+D52/400)/(1+E52/100)-B52/4+H52/4</f>
        <v>86.51175</v>
      </c>
      <c r="J52" s="10" t="n">
        <f aca="false">(1+D52/400)*(F52/100*'US Raw Data'!B51)-B52/100*'US Raw Data'!B52/4+H52/100*'US Raw Data'!B52/4</f>
        <v>12773.122491675</v>
      </c>
      <c r="K52" s="11" t="n">
        <f aca="false">J52/'US Raw Data'!B52*100</f>
        <v>86.51175</v>
      </c>
      <c r="L52" s="11" t="n">
        <f aca="false">'US Raw Data'!F52</f>
        <v>86.51175</v>
      </c>
      <c r="M52" s="11" t="n">
        <f aca="false">I52-L52</f>
        <v>0</v>
      </c>
    </row>
    <row r="53" customFormat="false" ht="15" hidden="false" customHeight="false" outlineLevel="0" collapsed="false">
      <c r="A53" s="0" t="str">
        <f aca="false">'US Construction'!A53</f>
        <v>2010-Q2</v>
      </c>
      <c r="B53" s="11" t="n">
        <f aca="false">'US Construction'!B53-'US Construction'!D53</f>
        <v>-6.32907733565249</v>
      </c>
      <c r="C53" s="11" t="n">
        <f aca="false">'US Construction'!H53</f>
        <v>2.5529289293791</v>
      </c>
      <c r="D53" s="11" t="n">
        <f aca="false">C53*100/F53</f>
        <v>2.95096207090841</v>
      </c>
      <c r="E53" s="11" t="n">
        <f aca="false">100*('US Raw Data'!B53/'US Raw Data'!B52-1)</f>
        <v>1.46013338652358</v>
      </c>
      <c r="F53" s="11" t="n">
        <f aca="false">'US Raw Data'!F52</f>
        <v>86.51175</v>
      </c>
      <c r="G53" s="11" t="n">
        <f aca="false">((1+D53/400)/(1+E53/100)-1)*F53</f>
        <v>-0.615960862470188</v>
      </c>
      <c r="H53" s="11" t="n">
        <f aca="false">4*(L53-F53-G53+B53/4)</f>
        <v>2.60104611422825</v>
      </c>
      <c r="I53" s="11" t="n">
        <f aca="false">F53*(1+D53/400)/(1+E53/100)-B53/4+H53/4</f>
        <v>88.12832</v>
      </c>
      <c r="J53" s="10" t="n">
        <f aca="false">(1+D53/400)*(F53/100*'US Raw Data'!B52)-B53/100*'US Raw Data'!B53/4+H53/100*'US Raw Data'!B53/4</f>
        <v>13201.7924236576</v>
      </c>
      <c r="K53" s="11" t="n">
        <f aca="false">J53/'US Raw Data'!B53*100</f>
        <v>88.12832</v>
      </c>
      <c r="L53" s="11" t="n">
        <f aca="false">'US Raw Data'!F53</f>
        <v>88.12832</v>
      </c>
      <c r="M53" s="11" t="n">
        <f aca="false">I53-L53</f>
        <v>0</v>
      </c>
    </row>
    <row r="54" customFormat="false" ht="15" hidden="false" customHeight="false" outlineLevel="0" collapsed="false">
      <c r="A54" s="0" t="str">
        <f aca="false">'US Construction'!A54</f>
        <v>2010-Q3</v>
      </c>
      <c r="B54" s="11" t="n">
        <f aca="false">'US Construction'!B54-'US Construction'!D54</f>
        <v>-6.0753194822716</v>
      </c>
      <c r="C54" s="11" t="n">
        <f aca="false">'US Construction'!H54</f>
        <v>2.598411115264</v>
      </c>
      <c r="D54" s="11" t="n">
        <f aca="false">C54*100/F54</f>
        <v>2.94844054131975</v>
      </c>
      <c r="E54" s="11" t="n">
        <f aca="false">100*('US Raw Data'!B54/'US Raw Data'!B53-1)</f>
        <v>1.07751615750211</v>
      </c>
      <c r="F54" s="11" t="n">
        <f aca="false">'US Raw Data'!F53</f>
        <v>88.12832</v>
      </c>
      <c r="G54" s="11" t="n">
        <f aca="false">((1+D54/400)/(1+E54/100)-1)*F54</f>
        <v>-0.296796082772462</v>
      </c>
      <c r="H54" s="11" t="n">
        <f aca="false">4*(L54-F54-G54+B54/4)</f>
        <v>0.859704848818247</v>
      </c>
      <c r="I54" s="11" t="n">
        <f aca="false">F54*(1+D54/400)/(1+E54/100)-B54/4+H54/4</f>
        <v>89.56528</v>
      </c>
      <c r="J54" s="10" t="n">
        <f aca="false">(1+D54/400)*(F54/100*'US Raw Data'!B53)-B54/100*'US Raw Data'!B54/4+H54/100*'US Raw Data'!B54/4</f>
        <v>13561.6227060496</v>
      </c>
      <c r="K54" s="11" t="n">
        <f aca="false">J54/'US Raw Data'!B54*100</f>
        <v>89.56528</v>
      </c>
      <c r="L54" s="11" t="n">
        <f aca="false">'US Raw Data'!F54</f>
        <v>89.56528</v>
      </c>
      <c r="M54" s="11" t="n">
        <f aca="false">I54-L54</f>
        <v>0</v>
      </c>
    </row>
    <row r="55" customFormat="false" ht="15" hidden="false" customHeight="false" outlineLevel="0" collapsed="false">
      <c r="A55" s="0" t="str">
        <f aca="false">'US Construction'!A55</f>
        <v>2010-Q4</v>
      </c>
      <c r="B55" s="11" t="n">
        <f aca="false">'US Construction'!B55-'US Construction'!D55</f>
        <v>-5.84819569895086</v>
      </c>
      <c r="C55" s="11" t="n">
        <f aca="false">'US Construction'!H55</f>
        <v>2.6385178270708</v>
      </c>
      <c r="D55" s="11" t="n">
        <f aca="false">C55*100/F55</f>
        <v>2.94591590298249</v>
      </c>
      <c r="E55" s="11" t="n">
        <f aca="false">100*('US Raw Data'!B55/'US Raw Data'!B54-1)</f>
        <v>1.10864718652386</v>
      </c>
      <c r="F55" s="11" t="n">
        <f aca="false">'US Raw Data'!F54</f>
        <v>89.56528</v>
      </c>
      <c r="G55" s="11" t="n">
        <f aca="false">((1+D55/400)/(1+E55/100)-1)*F55</f>
        <v>-0.329678528325661</v>
      </c>
      <c r="H55" s="11" t="n">
        <f aca="false">4*(L55-F55-G55+B55/4)</f>
        <v>3.65475841435178</v>
      </c>
      <c r="I55" s="11" t="n">
        <f aca="false">F55*(1+D55/400)/(1+E55/100)-B55/4+H55/4</f>
        <v>91.61134</v>
      </c>
      <c r="J55" s="10" t="n">
        <f aca="false">(1+D55/400)*(F55/100*'US Raw Data'!B54)-B55/100*'US Raw Data'!B55/4+H55/100*'US Raw Data'!B55/4</f>
        <v>14025.2142783516</v>
      </c>
      <c r="K55" s="11" t="n">
        <f aca="false">J55/'US Raw Data'!B55*100</f>
        <v>91.61134</v>
      </c>
      <c r="L55" s="11" t="n">
        <f aca="false">'US Raw Data'!F55</f>
        <v>91.61134</v>
      </c>
      <c r="M55" s="11" t="n">
        <f aca="false">I55-L55</f>
        <v>0</v>
      </c>
    </row>
    <row r="56" customFormat="false" ht="15" hidden="false" customHeight="false" outlineLevel="0" collapsed="false">
      <c r="A56" s="0" t="str">
        <f aca="false">'US Construction'!A56</f>
        <v>2011-Q1</v>
      </c>
      <c r="B56" s="11" t="n">
        <f aca="false">'US Construction'!B56-'US Construction'!D56</f>
        <v>-5.43012620047308</v>
      </c>
      <c r="C56" s="11" t="n">
        <f aca="false">'US Construction'!H56</f>
        <v>2.68333843474962</v>
      </c>
      <c r="D56" s="11" t="n">
        <f aca="false">C56*100/F56</f>
        <v>2.92904615820445</v>
      </c>
      <c r="E56" s="11" t="n">
        <f aca="false">100*('US Raw Data'!B56/'US Raw Data'!B55-1)</f>
        <v>0.274170098855131</v>
      </c>
      <c r="F56" s="11" t="n">
        <f aca="false">'US Raw Data'!F55</f>
        <v>91.61134</v>
      </c>
      <c r="G56" s="11" t="n">
        <f aca="false">((1+D56/400)/(1+E56/100)-1)*F56</f>
        <v>0.41851626080093</v>
      </c>
      <c r="H56" s="11" t="n">
        <f aca="false">4*(L56-F56-G56+B56/4)</f>
        <v>-1.72499124367677</v>
      </c>
      <c r="I56" s="11" t="n">
        <f aca="false">F56*(1+D56/400)/(1+E56/100)-B56/4+H56/4</f>
        <v>92.95614</v>
      </c>
      <c r="J56" s="10" t="n">
        <f aca="false">(1+D56/400)*(F56/100*'US Raw Data'!B55)-B56/100*'US Raw Data'!B56/4+H56/100*'US Raw Data'!B56/4</f>
        <v>14270.1134949072</v>
      </c>
      <c r="K56" s="11" t="n">
        <f aca="false">J56/'US Raw Data'!B56*100</f>
        <v>92.95614</v>
      </c>
      <c r="L56" s="11" t="n">
        <f aca="false">'US Raw Data'!F56</f>
        <v>92.95614</v>
      </c>
      <c r="M56" s="11" t="n">
        <f aca="false">I56-L56</f>
        <v>0</v>
      </c>
    </row>
    <row r="57" customFormat="false" ht="15" hidden="false" customHeight="false" outlineLevel="0" collapsed="false">
      <c r="A57" s="0" t="str">
        <f aca="false">'US Construction'!A57</f>
        <v>2011-Q2</v>
      </c>
      <c r="B57" s="11" t="n">
        <f aca="false">'US Construction'!B57-'US Construction'!D57</f>
        <v>-5.45984811608057</v>
      </c>
      <c r="C57" s="11" t="n">
        <f aca="false">'US Construction'!H57</f>
        <v>2.7683838032738</v>
      </c>
      <c r="D57" s="11" t="n">
        <f aca="false">C57*100/F57</f>
        <v>2.97816131701876</v>
      </c>
      <c r="E57" s="11" t="n">
        <f aca="false">100*('US Raw Data'!B57/'US Raw Data'!B56-1)</f>
        <v>1.34248573815317</v>
      </c>
      <c r="F57" s="11" t="n">
        <f aca="false">'US Raw Data'!F56</f>
        <v>92.95614</v>
      </c>
      <c r="G57" s="11" t="n">
        <f aca="false">((1+D57/400)/(1+E57/100)-1)*F57</f>
        <v>-0.548463921494272</v>
      </c>
      <c r="H57" s="11" t="n">
        <f aca="false">4*(L57-F57-G57+B57/4)</f>
        <v>-6.31535243010351</v>
      </c>
      <c r="I57" s="11" t="n">
        <f aca="false">F57*(1+D57/400)/(1+E57/100)-B57/4+H57/4</f>
        <v>92.1938</v>
      </c>
      <c r="J57" s="10" t="n">
        <f aca="false">(1+D57/400)*(F57/100*'US Raw Data'!B56)-B57/100*'US Raw Data'!B57/4+H57/100*'US Raw Data'!B57/4</f>
        <v>14343.086390582</v>
      </c>
      <c r="K57" s="11" t="n">
        <f aca="false">J57/'US Raw Data'!B57*100</f>
        <v>92.1938</v>
      </c>
      <c r="L57" s="11" t="n">
        <f aca="false">'US Raw Data'!F57</f>
        <v>92.1938</v>
      </c>
      <c r="M57" s="11" t="n">
        <f aca="false">I57-L57</f>
        <v>0</v>
      </c>
    </row>
    <row r="58" customFormat="false" ht="15" hidden="false" customHeight="false" outlineLevel="0" collapsed="false">
      <c r="A58" s="0" t="str">
        <f aca="false">'US Construction'!A58</f>
        <v>2011-Q3</v>
      </c>
      <c r="B58" s="11" t="n">
        <f aca="false">'US Construction'!B58-'US Construction'!D58</f>
        <v>-5.02205438761529</v>
      </c>
      <c r="C58" s="11" t="n">
        <f aca="false">'US Construction'!H58</f>
        <v>2.78080614163975</v>
      </c>
      <c r="D58" s="11" t="n">
        <f aca="false">C58*100/F58</f>
        <v>3.01626155081985</v>
      </c>
      <c r="E58" s="11" t="n">
        <f aca="false">100*('US Raw Data'!B58/'US Raw Data'!B57-1)</f>
        <v>0.57940397899694</v>
      </c>
      <c r="F58" s="11" t="n">
        <f aca="false">'US Raw Data'!F57</f>
        <v>92.1938</v>
      </c>
      <c r="G58" s="11" t="n">
        <f aca="false">((1+D58/400)/(1+E58/100)-1)*F58</f>
        <v>0.160099367714586</v>
      </c>
      <c r="H58" s="11" t="n">
        <f aca="false">4*(L58-F58-G58+B58/4)</f>
        <v>3.64626814152636</v>
      </c>
      <c r="I58" s="11" t="n">
        <f aca="false">F58*(1+D58/400)/(1+E58/100)-B58/4+H58/4</f>
        <v>94.52098</v>
      </c>
      <c r="J58" s="10" t="n">
        <f aca="false">(1+D58/400)*(F58/100*'US Raw Data'!B57)-B58/100*'US Raw Data'!B58/4+H58/100*'US Raw Data'!B58/4</f>
        <v>14790.340483264</v>
      </c>
      <c r="K58" s="11" t="n">
        <f aca="false">J58/'US Raw Data'!B58*100</f>
        <v>94.52098</v>
      </c>
      <c r="L58" s="11" t="n">
        <f aca="false">'US Raw Data'!F58</f>
        <v>94.52098</v>
      </c>
      <c r="M58" s="11" t="n">
        <f aca="false">I58-L58</f>
        <v>0</v>
      </c>
    </row>
    <row r="59" customFormat="false" ht="15" hidden="false" customHeight="false" outlineLevel="0" collapsed="false">
      <c r="A59" s="0" t="str">
        <f aca="false">'US Construction'!A59</f>
        <v>2011-Q4</v>
      </c>
      <c r="B59" s="11" t="n">
        <f aca="false">'US Construction'!B59-'US Construction'!D59</f>
        <v>-4.83478397872424</v>
      </c>
      <c r="C59" s="11" t="n">
        <f aca="false">'US Construction'!H59</f>
        <v>2.76942013129103</v>
      </c>
      <c r="D59" s="11" t="n">
        <f aca="false">C59*100/F59</f>
        <v>2.92995283300176</v>
      </c>
      <c r="E59" s="11" t="n">
        <f aca="false">100*('US Raw Data'!B59/'US Raw Data'!B58-1)</f>
        <v>1.24350063395979</v>
      </c>
      <c r="F59" s="11" t="n">
        <f aca="false">'US Raw Data'!F58</f>
        <v>94.52098</v>
      </c>
      <c r="G59" s="11" t="n">
        <f aca="false">((1+D59/400)/(1+E59/100)-1)*F59</f>
        <v>-0.477081441947127</v>
      </c>
      <c r="H59" s="11" t="n">
        <f aca="false">4*(L59-F59-G59+B59/4)</f>
        <v>3.35250178906431</v>
      </c>
      <c r="I59" s="11" t="n">
        <f aca="false">F59*(1+D59/400)/(1+E59/100)-B59/4+H59/4</f>
        <v>96.09072</v>
      </c>
      <c r="J59" s="10" t="n">
        <f aca="false">(1+D59/400)*(F59/100*'US Raw Data'!B58)-B59/100*'US Raw Data'!B59/4+H59/100*'US Raw Data'!B59/4</f>
        <v>15222.9407373648</v>
      </c>
      <c r="K59" s="11" t="n">
        <f aca="false">J59/'US Raw Data'!B59*100</f>
        <v>96.09072</v>
      </c>
      <c r="L59" s="11" t="n">
        <f aca="false">'US Raw Data'!F59</f>
        <v>96.09072</v>
      </c>
      <c r="M59" s="11" t="n">
        <f aca="false">I59-L59</f>
        <v>0</v>
      </c>
    </row>
    <row r="60" customFormat="false" ht="15" hidden="false" customHeight="false" outlineLevel="0" collapsed="false">
      <c r="A60" s="0" t="str">
        <f aca="false">'US Construction'!A60</f>
        <v>2012-Q1</v>
      </c>
      <c r="B60" s="11" t="n">
        <f aca="false">'US Construction'!B60-'US Construction'!D60</f>
        <v>-4.24457201391143</v>
      </c>
      <c r="C60" s="11" t="n">
        <f aca="false">'US Construction'!H60</f>
        <v>2.70380000730956</v>
      </c>
      <c r="D60" s="11" t="n">
        <f aca="false">C60*100/F60</f>
        <v>2.81379930060839</v>
      </c>
      <c r="E60" s="11" t="n">
        <f aca="false">100*('US Raw Data'!B60/'US Raw Data'!B59-1)</f>
        <v>1.43001070743762</v>
      </c>
      <c r="F60" s="11" t="n">
        <f aca="false">'US Raw Data'!F59</f>
        <v>96.09072</v>
      </c>
      <c r="G60" s="11" t="n">
        <f aca="false">((1+D60/400)/(1+E60/100)-1)*F60</f>
        <v>-0.688314610396986</v>
      </c>
      <c r="H60" s="11" t="n">
        <f aca="false">4*(L60-F60-G60+B60/4)</f>
        <v>2.6381264276765</v>
      </c>
      <c r="I60" s="11" t="n">
        <f aca="false">F60*(1+D60/400)/(1+E60/100)-B60/4+H60/4</f>
        <v>97.12308</v>
      </c>
      <c r="J60" s="10" t="n">
        <f aca="false">(1+D60/400)*(F60/100*'US Raw Data'!B59)-B60/100*'US Raw Data'!B60/4+H60/100*'US Raw Data'!B60/4</f>
        <v>15606.518335194</v>
      </c>
      <c r="K60" s="11" t="n">
        <f aca="false">J60/'US Raw Data'!B60*100</f>
        <v>97.12308</v>
      </c>
      <c r="L60" s="11" t="n">
        <f aca="false">'US Raw Data'!F60</f>
        <v>97.12308</v>
      </c>
      <c r="M60" s="11" t="n">
        <f aca="false">I60-L60</f>
        <v>0</v>
      </c>
    </row>
    <row r="61" customFormat="false" ht="15" hidden="false" customHeight="false" outlineLevel="0" collapsed="false">
      <c r="A61" s="0" t="str">
        <f aca="false">'US Construction'!A61</f>
        <v>2012-Q2</v>
      </c>
      <c r="B61" s="11" t="n">
        <f aca="false">'US Construction'!B61-'US Construction'!D61</f>
        <v>-4.12642842356582</v>
      </c>
      <c r="C61" s="11" t="n">
        <f aca="false">'US Construction'!H61</f>
        <v>2.6407999848153</v>
      </c>
      <c r="D61" s="11" t="n">
        <f aca="false">C61*100/F61</f>
        <v>2.71902413392913</v>
      </c>
      <c r="E61" s="11" t="n">
        <f aca="false">100*('US Raw Data'!B61/'US Raw Data'!B60-1)</f>
        <v>0.860736065936441</v>
      </c>
      <c r="F61" s="11" t="n">
        <f aca="false">'US Raw Data'!F60</f>
        <v>97.12308</v>
      </c>
      <c r="G61" s="11" t="n">
        <f aca="false">((1+D61/400)/(1+E61/100)-1)*F61</f>
        <v>-0.174273348143679</v>
      </c>
      <c r="H61" s="11" t="n">
        <f aca="false">4*(L61-F61-G61+B61/4)</f>
        <v>-0.611135030991118</v>
      </c>
      <c r="I61" s="11" t="n">
        <f aca="false">F61*(1+D61/400)/(1+E61/100)-B61/4+H61/4</f>
        <v>97.82763</v>
      </c>
      <c r="J61" s="10" t="n">
        <f aca="false">(1+D61/400)*(F61/100*'US Raw Data'!B60)-B61/100*'US Raw Data'!B61/4+H61/100*'US Raw Data'!B61/4</f>
        <v>15855.0364958745</v>
      </c>
      <c r="K61" s="11" t="n">
        <f aca="false">J61/'US Raw Data'!B61*100</f>
        <v>97.82763</v>
      </c>
      <c r="L61" s="11" t="n">
        <f aca="false">'US Raw Data'!F61</f>
        <v>97.82763</v>
      </c>
      <c r="M61" s="11" t="n">
        <f aca="false">I61-L61</f>
        <v>0</v>
      </c>
    </row>
    <row r="62" customFormat="false" ht="15" hidden="false" customHeight="false" outlineLevel="0" collapsed="false">
      <c r="A62" s="0" t="str">
        <f aca="false">'US Construction'!A62</f>
        <v>2012-Q3</v>
      </c>
      <c r="B62" s="11" t="n">
        <f aca="false">'US Construction'!B62-'US Construction'!D62</f>
        <v>-4.07958777762193</v>
      </c>
      <c r="C62" s="11" t="n">
        <f aca="false">'US Construction'!H62</f>
        <v>2.5974641384355</v>
      </c>
      <c r="D62" s="11" t="n">
        <f aca="false">C62*100/F62</f>
        <v>2.6551436832677</v>
      </c>
      <c r="E62" s="11" t="n">
        <f aca="false">100*('US Raw Data'!B62/'US Raw Data'!B61-1)</f>
        <v>0.693682990464373</v>
      </c>
      <c r="F62" s="11" t="n">
        <f aca="false">'US Raw Data'!F61</f>
        <v>97.82763</v>
      </c>
      <c r="G62" s="11" t="n">
        <f aca="false">((1+D62/400)/(1+E62/100)-1)*F62</f>
        <v>-0.0290461067734664</v>
      </c>
      <c r="H62" s="11" t="n">
        <f aca="false">4*(L62-F62-G62+B62/4)</f>
        <v>-1.48244335052808</v>
      </c>
      <c r="I62" s="11" t="n">
        <f aca="false">F62*(1+D62/400)/(1+E62/100)-B62/4+H62/4</f>
        <v>98.44787</v>
      </c>
      <c r="J62" s="10" t="n">
        <f aca="false">(1+D62/400)*(F62/100*'US Raw Data'!B61)-B62/100*'US Raw Data'!B62/4+H62/100*'US Raw Data'!B62/4</f>
        <v>16066.2405082767</v>
      </c>
      <c r="K62" s="11" t="n">
        <f aca="false">J62/'US Raw Data'!B62*100</f>
        <v>98.44787</v>
      </c>
      <c r="L62" s="11" t="n">
        <f aca="false">'US Raw Data'!F62</f>
        <v>98.44787</v>
      </c>
      <c r="M62" s="11" t="n">
        <f aca="false">I62-L62</f>
        <v>0</v>
      </c>
    </row>
    <row r="63" customFormat="false" ht="15" hidden="false" customHeight="false" outlineLevel="0" collapsed="false">
      <c r="A63" s="0" t="str">
        <f aca="false">'US Construction'!A63</f>
        <v>2012-Q4</v>
      </c>
      <c r="B63" s="11" t="n">
        <f aca="false">'US Construction'!B63-'US Construction'!D63</f>
        <v>-3.55442208874207</v>
      </c>
      <c r="C63" s="11" t="n">
        <f aca="false">'US Construction'!H63</f>
        <v>2.55420173888469</v>
      </c>
      <c r="D63" s="11" t="n">
        <f aca="false">C63*100/F63</f>
        <v>2.59447130637229</v>
      </c>
      <c r="E63" s="11" t="n">
        <f aca="false">100*('US Raw Data'!B63/'US Raw Data'!B62-1)</f>
        <v>0.618142385254594</v>
      </c>
      <c r="F63" s="11" t="n">
        <f aca="false">'US Raw Data'!F62</f>
        <v>98.44787</v>
      </c>
      <c r="G63" s="11" t="n">
        <f aca="false">((1+D63/400)/(1+E63/100)-1)*F63</f>
        <v>0.0298181045282529</v>
      </c>
      <c r="H63" s="11" t="n">
        <f aca="false">4*(L63-F63-G63+B63/4)</f>
        <v>2.83470549314491</v>
      </c>
      <c r="I63" s="11" t="n">
        <f aca="false">F63*(1+D63/400)/(1+E63/100)-B63/4+H63/4</f>
        <v>100.07497</v>
      </c>
      <c r="J63" s="10" t="n">
        <f aca="false">(1+D63/400)*(F63/100*'US Raw Data'!B62)-B63/100*'US Raw Data'!B63/4+H63/100*'US Raw Data'!B63/4</f>
        <v>16432.7293881243</v>
      </c>
      <c r="K63" s="11" t="n">
        <f aca="false">J63/'US Raw Data'!B63*100</f>
        <v>100.07497</v>
      </c>
      <c r="L63" s="11" t="n">
        <f aca="false">'US Raw Data'!F63</f>
        <v>100.07497</v>
      </c>
      <c r="M63" s="11" t="n">
        <f aca="false">I63-L63</f>
        <v>0</v>
      </c>
    </row>
    <row r="64" customFormat="false" ht="15" hidden="false" customHeight="false" outlineLevel="0" collapsed="false">
      <c r="A64" s="0" t="str">
        <f aca="false">'US Construction'!A64</f>
        <v>2013-Q1</v>
      </c>
      <c r="B64" s="11" t="n">
        <f aca="false">'US Construction'!B64-'US Construction'!D64</f>
        <v>-2.18166672663315</v>
      </c>
      <c r="C64" s="11" t="n">
        <f aca="false">'US Construction'!H64</f>
        <v>2.50329787565104</v>
      </c>
      <c r="D64" s="11" t="n">
        <f aca="false">C64*100/F64</f>
        <v>2.50142255915844</v>
      </c>
      <c r="E64" s="11" t="n">
        <f aca="false">100*('US Raw Data'!B64/'US Raw Data'!B63-1)</f>
        <v>1.38711442137984</v>
      </c>
      <c r="F64" s="11" t="n">
        <f aca="false">'US Raw Data'!F63</f>
        <v>100.07497</v>
      </c>
      <c r="G64" s="11" t="n">
        <f aca="false">((1+D64/400)/(1+E64/100)-1)*F64</f>
        <v>-0.751900156641642</v>
      </c>
      <c r="H64" s="11" t="n">
        <f aca="false">4*(L64-F64-G64+B64/4)</f>
        <v>3.48593389993344</v>
      </c>
      <c r="I64" s="11" t="n">
        <f aca="false">F64*(1+D64/400)/(1+E64/100)-B64/4+H64/4</f>
        <v>100.73997</v>
      </c>
      <c r="J64" s="10" t="n">
        <f aca="false">(1+D64/400)*(F64/100*'US Raw Data'!B63)-B64/100*'US Raw Data'!B64/4+H64/100*'US Raw Data'!B64/4</f>
        <v>16771.3806041433</v>
      </c>
      <c r="K64" s="11" t="n">
        <f aca="false">J64/'US Raw Data'!B64*100</f>
        <v>100.73997</v>
      </c>
      <c r="L64" s="11" t="n">
        <f aca="false">'US Raw Data'!F64</f>
        <v>100.73997</v>
      </c>
      <c r="M64" s="11" t="n">
        <f aca="false">I64-L64</f>
        <v>0</v>
      </c>
    </row>
    <row r="65" customFormat="false" ht="15" hidden="false" customHeight="false" outlineLevel="0" collapsed="false">
      <c r="A65" s="0" t="str">
        <f aca="false">'US Construction'!A65</f>
        <v>2013-Q2</v>
      </c>
      <c r="B65" s="11" t="n">
        <f aca="false">'US Construction'!B65-'US Construction'!D65</f>
        <v>-0.71004377091878</v>
      </c>
      <c r="C65" s="11" t="n">
        <f aca="false">'US Construction'!H65</f>
        <v>2.47779503224044</v>
      </c>
      <c r="D65" s="11" t="n">
        <f aca="false">C65*100/F65</f>
        <v>2.45959476882954</v>
      </c>
      <c r="E65" s="11" t="n">
        <f aca="false">100*('US Raw Data'!B65/'US Raw Data'!B64-1)</f>
        <v>0.483524063788576</v>
      </c>
      <c r="F65" s="11" t="n">
        <f aca="false">'US Raw Data'!F64</f>
        <v>100.73997</v>
      </c>
      <c r="G65" s="11" t="n">
        <f aca="false">((1+D65/400)/(1+E65/100)-1)*F65</f>
        <v>0.13170991213714</v>
      </c>
      <c r="H65" s="11" t="n">
        <f aca="false">4*(L65-F65-G65+B65/4)</f>
        <v>-3.96644341946733</v>
      </c>
      <c r="I65" s="11" t="n">
        <f aca="false">F65*(1+D65/400)/(1+E65/100)-B65/4+H65/4</f>
        <v>100.05758</v>
      </c>
      <c r="J65" s="10" t="n">
        <f aca="false">(1+D65/400)*(F65/100*'US Raw Data'!B64)-B65/100*'US Raw Data'!B65/4+H65/100*'US Raw Data'!B65/4</f>
        <v>16738.3193779746</v>
      </c>
      <c r="K65" s="11" t="n">
        <f aca="false">J65/'US Raw Data'!B65*100</f>
        <v>100.05758</v>
      </c>
      <c r="L65" s="11" t="n">
        <f aca="false">'US Raw Data'!F65</f>
        <v>100.05758</v>
      </c>
      <c r="M65" s="11" t="n">
        <f aca="false">I65-L65</f>
        <v>0</v>
      </c>
    </row>
    <row r="66" customFormat="false" ht="15" hidden="false" customHeight="false" outlineLevel="0" collapsed="false">
      <c r="A66" s="0" t="str">
        <f aca="false">'US Construction'!A66</f>
        <v>2013-Q3</v>
      </c>
      <c r="B66" s="11" t="n">
        <f aca="false">'US Construction'!B66-'US Construction'!D66</f>
        <v>-1.69078529593122</v>
      </c>
      <c r="C66" s="11" t="n">
        <f aca="false">'US Construction'!H66</f>
        <v>2.49118176459396</v>
      </c>
      <c r="D66" s="11" t="n">
        <f aca="false">C66*100/F66</f>
        <v>2.48974816759905</v>
      </c>
      <c r="E66" s="11" t="n">
        <f aca="false">100*('US Raw Data'!B66/'US Raw Data'!B65-1)</f>
        <v>1.34589761886272</v>
      </c>
      <c r="F66" s="11" t="n">
        <f aca="false">'US Raw Data'!F65</f>
        <v>100.05758</v>
      </c>
      <c r="G66" s="11" t="n">
        <f aca="false">((1+D66/400)/(1+E66/100)-1)*F66</f>
        <v>-0.714263884943324</v>
      </c>
      <c r="H66" s="11" t="n">
        <f aca="false">4*(L66-F66-G66+B66/4)</f>
        <v>-4.15216975615793</v>
      </c>
      <c r="I66" s="11" t="n">
        <f aca="false">F66*(1+D66/400)/(1+E66/100)-B66/4+H66/4</f>
        <v>98.72797</v>
      </c>
      <c r="J66" s="10" t="n">
        <f aca="false">(1+D66/400)*(F66/100*'US Raw Data'!B65)-B66/100*'US Raw Data'!B66/4+H66/100*'US Raw Data'!B66/4</f>
        <v>16738.1800944886</v>
      </c>
      <c r="K66" s="11" t="n">
        <f aca="false">J66/'US Raw Data'!B66*100</f>
        <v>98.72797</v>
      </c>
      <c r="L66" s="11" t="n">
        <f aca="false">'US Raw Data'!F66</f>
        <v>98.72797</v>
      </c>
      <c r="M66" s="11" t="n">
        <f aca="false">I66-L66</f>
        <v>0</v>
      </c>
    </row>
    <row r="67" customFormat="false" ht="15" hidden="false" customHeight="false" outlineLevel="0" collapsed="false">
      <c r="A67" s="0" t="str">
        <f aca="false">'US Construction'!A67</f>
        <v>2013-Q4</v>
      </c>
      <c r="B67" s="11" t="n">
        <f aca="false">'US Construction'!B67-'US Construction'!D67</f>
        <v>-0.592117772787479</v>
      </c>
      <c r="C67" s="11" t="n">
        <f aca="false">'US Construction'!H67</f>
        <v>2.50681291162508</v>
      </c>
      <c r="D67" s="11" t="n">
        <f aca="false">C67*100/F67</f>
        <v>2.53911116740786</v>
      </c>
      <c r="E67" s="11" t="n">
        <f aca="false">100*('US Raw Data'!B67/'US Raw Data'!B66-1)</f>
        <v>1.40487953229234</v>
      </c>
      <c r="F67" s="11" t="n">
        <f aca="false">'US Raw Data'!F66</f>
        <v>98.72797</v>
      </c>
      <c r="G67" s="11" t="n">
        <f aca="false">((1+D67/400)/(1+E67/100)-1)*F67</f>
        <v>-0.749772416059445</v>
      </c>
      <c r="H67" s="11" t="n">
        <f aca="false">4*(L67-F67-G67+B67/4)</f>
        <v>6.65981189145029</v>
      </c>
      <c r="I67" s="11" t="n">
        <f aca="false">F67*(1+D67/400)/(1+E67/100)-B67/4+H67/4</f>
        <v>99.79118</v>
      </c>
      <c r="J67" s="10" t="n">
        <f aca="false">(1+D67/400)*(F67/100*'US Raw Data'!B66)-B67/100*'US Raw Data'!B67/4+H67/100*'US Raw Data'!B67/4</f>
        <v>17156.1186259242</v>
      </c>
      <c r="K67" s="11" t="n">
        <f aca="false">J67/'US Raw Data'!B67*100</f>
        <v>99.79118</v>
      </c>
      <c r="L67" s="11" t="n">
        <f aca="false">'US Raw Data'!F67</f>
        <v>99.79118</v>
      </c>
      <c r="M67" s="11" t="n">
        <f aca="false">I67-L67</f>
        <v>0</v>
      </c>
    </row>
    <row r="68" customFormat="false" ht="15" hidden="false" customHeight="false" outlineLevel="0" collapsed="false">
      <c r="A68" s="0" t="str">
        <f aca="false">'US Construction'!A68</f>
        <v>2014-Q1</v>
      </c>
      <c r="B68" s="11" t="n">
        <f aca="false">'US Construction'!B68-'US Construction'!D68</f>
        <v>-0.724583663270135</v>
      </c>
      <c r="C68" s="11" t="n">
        <f aca="false">'US Construction'!H68</f>
        <v>2.51251467323297</v>
      </c>
      <c r="D68" s="11" t="n">
        <f aca="false">C68*100/F68</f>
        <v>2.51777228531917</v>
      </c>
      <c r="E68" s="11" t="n">
        <f aca="false">100*('US Raw Data'!B68/'US Raw Data'!B67-1)</f>
        <v>0.0332654355489126</v>
      </c>
      <c r="F68" s="11" t="n">
        <f aca="false">'US Raw Data'!F67</f>
        <v>99.79118</v>
      </c>
      <c r="G68" s="11" t="n">
        <f aca="false">((1+D68/400)/(1+E68/100)-1)*F68</f>
        <v>0.594734856501468</v>
      </c>
      <c r="H68" s="11" t="n">
        <f aca="false">4*(L68-F68-G68+B68/4)</f>
        <v>7.11643691072401</v>
      </c>
      <c r="I68" s="11" t="n">
        <f aca="false">F68*(1+D68/400)/(1+E68/100)-B68/4+H68/4</f>
        <v>102.34617</v>
      </c>
      <c r="J68" s="10" t="n">
        <f aca="false">(1+D68/400)*(F68/100*'US Raw Data'!B67)-B68/100*'US Raw Data'!B68/4+H68/100*'US Raw Data'!B68/4</f>
        <v>17601.2261696346</v>
      </c>
      <c r="K68" s="11" t="n">
        <f aca="false">J68/'US Raw Data'!B68*100</f>
        <v>102.34617</v>
      </c>
      <c r="L68" s="11" t="n">
        <f aca="false">'US Raw Data'!F68</f>
        <v>102.34617</v>
      </c>
      <c r="M68" s="11" t="n">
        <f aca="false">I68-L68</f>
        <v>0</v>
      </c>
    </row>
    <row r="69" customFormat="false" ht="15" hidden="false" customHeight="false" outlineLevel="0" collapsed="false">
      <c r="A69" s="0" t="str">
        <f aca="false">'US Construction'!A69</f>
        <v>2014-Q2</v>
      </c>
      <c r="B69" s="11" t="n">
        <f aca="false">'US Construction'!B69-'US Construction'!D69</f>
        <v>-0.800376379084337</v>
      </c>
      <c r="C69" s="11" t="n">
        <f aca="false">'US Construction'!H69</f>
        <v>2.55863300161917</v>
      </c>
      <c r="D69" s="11" t="n">
        <f aca="false">C69*100/F69</f>
        <v>2.49997923871422</v>
      </c>
      <c r="E69" s="11" t="n">
        <f aca="false">100*('US Raw Data'!B69/'US Raw Data'!B68-1)</f>
        <v>1.86518715426414</v>
      </c>
      <c r="F69" s="11" t="n">
        <f aca="false">'US Raw Data'!F68</f>
        <v>102.34617</v>
      </c>
      <c r="G69" s="11" t="n">
        <f aca="false">((1+D69/400)/(1+E69/100)-1)*F69</f>
        <v>-1.24604823372517</v>
      </c>
      <c r="H69" s="11" t="n">
        <f aca="false">4*(L69-F69-G69+B69/4)</f>
        <v>-2.59566344418363</v>
      </c>
      <c r="I69" s="11" t="n">
        <f aca="false">F69*(1+D69/400)/(1+E69/100)-B69/4+H69/4</f>
        <v>100.6513</v>
      </c>
      <c r="J69" s="10" t="n">
        <f aca="false">(1+D69/400)*(F69/100*'US Raw Data'!B68)-B69/100*'US Raw Data'!B69/4+H69/100*'US Raw Data'!B69/4</f>
        <v>17632.606042604</v>
      </c>
      <c r="K69" s="11" t="n">
        <f aca="false">J69/'US Raw Data'!B69*100</f>
        <v>100.6513</v>
      </c>
      <c r="L69" s="11" t="n">
        <f aca="false">'US Raw Data'!F69</f>
        <v>100.6513</v>
      </c>
      <c r="M69" s="11" t="n">
        <f aca="false">I69-L69</f>
        <v>0</v>
      </c>
    </row>
    <row r="70" customFormat="false" ht="15" hidden="false" customHeight="false" outlineLevel="0" collapsed="false">
      <c r="A70" s="0" t="str">
        <f aca="false">'US Construction'!A70</f>
        <v>2014-Q3</v>
      </c>
      <c r="B70" s="11" t="n">
        <f aca="false">'US Construction'!B70-'US Construction'!D70</f>
        <v>-1.04367344655438</v>
      </c>
      <c r="C70" s="11" t="n">
        <f aca="false">'US Construction'!H70</f>
        <v>2.52365669496512</v>
      </c>
      <c r="D70" s="11" t="n">
        <f aca="false">C70*100/F70</f>
        <v>2.5073264776164</v>
      </c>
      <c r="E70" s="11" t="n">
        <f aca="false">100*('US Raw Data'!B70/'US Raw Data'!B69-1)</f>
        <v>1.6309608101329</v>
      </c>
      <c r="F70" s="11" t="n">
        <f aca="false">'US Raw Data'!F69</f>
        <v>100.6513</v>
      </c>
      <c r="G70" s="11" t="n">
        <f aca="false">((1+D70/400)/(1+E70/100)-1)*F70</f>
        <v>-0.994449994461965</v>
      </c>
      <c r="H70" s="11" t="n">
        <f aca="false">4*(L70-F70-G70+B70/4)</f>
        <v>0.774726531293474</v>
      </c>
      <c r="I70" s="11" t="n">
        <f aca="false">F70*(1+D70/400)/(1+E70/100)-B70/4+H70/4</f>
        <v>100.11145</v>
      </c>
      <c r="J70" s="10" t="n">
        <f aca="false">(1+D70/400)*(F70/100*'US Raw Data'!B69)-B70/100*'US Raw Data'!B70/4+H70/100*'US Raw Data'!B70/4</f>
        <v>17824.070812106</v>
      </c>
      <c r="K70" s="11" t="n">
        <f aca="false">J70/'US Raw Data'!B70*100</f>
        <v>100.11145</v>
      </c>
      <c r="L70" s="11" t="n">
        <f aca="false">'US Raw Data'!F70</f>
        <v>100.11145</v>
      </c>
      <c r="M70" s="11" t="n">
        <f aca="false">I70-L70</f>
        <v>0</v>
      </c>
    </row>
    <row r="71" customFormat="false" ht="15" hidden="false" customHeight="false" outlineLevel="0" collapsed="false">
      <c r="A71" s="0" t="str">
        <f aca="false">'US Construction'!A71</f>
        <v>2014-Q4</v>
      </c>
      <c r="B71" s="11" t="n">
        <f aca="false">'US Construction'!B71-'US Construction'!D71</f>
        <v>-0.943888199689162</v>
      </c>
      <c r="C71" s="11" t="n">
        <f aca="false">'US Construction'!H71</f>
        <v>2.4841459006254</v>
      </c>
      <c r="D71" s="11" t="n">
        <f aca="false">C71*100/F71</f>
        <v>2.48138040216719</v>
      </c>
      <c r="E71" s="11" t="n">
        <f aca="false">100*('US Raw Data'!B71/'US Raw Data'!B70-1)</f>
        <v>0.605760609221595</v>
      </c>
      <c r="F71" s="11" t="n">
        <f aca="false">'US Raw Data'!F70</f>
        <v>100.11145</v>
      </c>
      <c r="G71" s="11" t="n">
        <f aca="false">((1+D71/400)/(1+E71/100)-1)*F71</f>
        <v>0.0145128327119186</v>
      </c>
      <c r="H71" s="11" t="n">
        <f aca="false">4*(L71-F71-G71+B71/4)</f>
        <v>3.67426046946316</v>
      </c>
      <c r="I71" s="11" t="n">
        <f aca="false">F71*(1+D71/400)/(1+E71/100)-B71/4+H71/4</f>
        <v>101.2805</v>
      </c>
      <c r="J71" s="10" t="n">
        <f aca="false">(1+D71/400)*(F71/100*'US Raw Data'!B70)-B71/100*'US Raw Data'!B71/4+H71/100*'US Raw Data'!B71/4</f>
        <v>18141.443171595</v>
      </c>
      <c r="K71" s="11" t="n">
        <f aca="false">J71/'US Raw Data'!B71*100</f>
        <v>101.2805</v>
      </c>
      <c r="L71" s="11" t="n">
        <f aca="false">'US Raw Data'!F71</f>
        <v>101.2805</v>
      </c>
      <c r="M71" s="11" t="n">
        <f aca="false">I71-L71</f>
        <v>0</v>
      </c>
    </row>
    <row r="72" customFormat="false" ht="15" hidden="false" customHeight="false" outlineLevel="0" collapsed="false">
      <c r="A72" s="0" t="str">
        <f aca="false">'US Construction'!A72</f>
        <v>2015-Q1</v>
      </c>
      <c r="B72" s="11" t="n">
        <f aca="false">'US Construction'!B72-'US Construction'!D72</f>
        <v>-0.830358231771879</v>
      </c>
      <c r="C72" s="11" t="n">
        <f aca="false">'US Construction'!H72</f>
        <v>2.3932956079526</v>
      </c>
      <c r="D72" s="11" t="n">
        <f aca="false">C72*100/F72</f>
        <v>2.36303692018957</v>
      </c>
      <c r="E72" s="11" t="n">
        <f aca="false">100*('US Raw Data'!B72/'US Raw Data'!B71-1)</f>
        <v>0.845518825592473</v>
      </c>
      <c r="F72" s="11" t="n">
        <f aca="false">'US Raw Data'!F71</f>
        <v>101.2805</v>
      </c>
      <c r="G72" s="11" t="n">
        <f aca="false">((1+D72/400)/(1+E72/100)-1)*F72</f>
        <v>-0.255858460713838</v>
      </c>
      <c r="H72" s="11" t="n">
        <f aca="false">4*(L72-F72-G72+B72/4)</f>
        <v>-2.96856438891656</v>
      </c>
      <c r="I72" s="11" t="n">
        <f aca="false">F72*(1+D72/400)/(1+E72/100)-B72/4+H72/4</f>
        <v>100.49009</v>
      </c>
      <c r="J72" s="10" t="n">
        <f aca="false">(1+D72/400)*(F72/100*'US Raw Data'!B71)-B72/100*'US Raw Data'!B72/4+H72/100*'US Raw Data'!B72/4</f>
        <v>18152.0565492761</v>
      </c>
      <c r="K72" s="11" t="n">
        <f aca="false">J72/'US Raw Data'!B72*100</f>
        <v>100.49009</v>
      </c>
      <c r="L72" s="11" t="n">
        <f aca="false">'US Raw Data'!F72</f>
        <v>100.49009</v>
      </c>
      <c r="M72" s="11" t="n">
        <f aca="false">I72-L72</f>
        <v>0</v>
      </c>
    </row>
    <row r="73" customFormat="false" ht="15" hidden="false" customHeight="false" outlineLevel="0" collapsed="false">
      <c r="A73" s="0" t="str">
        <f aca="false">'US Construction'!A73</f>
        <v>2015-Q2</v>
      </c>
      <c r="B73" s="11" t="n">
        <f aca="false">'US Construction'!B73-'US Construction'!D73</f>
        <v>-0.653727637044288</v>
      </c>
      <c r="C73" s="11" t="n">
        <f aca="false">'US Construction'!H73</f>
        <v>2.35766222646749</v>
      </c>
      <c r="D73" s="11" t="n">
        <f aca="false">C73*100/F73</f>
        <v>2.34616391175238</v>
      </c>
      <c r="E73" s="11" t="n">
        <f aca="false">100*('US Raw Data'!B73/'US Raw Data'!B72-1)</f>
        <v>1.19719131294889</v>
      </c>
      <c r="F73" s="11" t="n">
        <f aca="false">'US Raw Data'!F72</f>
        <v>100.49009</v>
      </c>
      <c r="G73" s="11" t="n">
        <f aca="false">((1+D73/400)/(1+E73/100)-1)*F73</f>
        <v>-0.606383500644777</v>
      </c>
      <c r="H73" s="11" t="n">
        <f aca="false">4*(L73-F73-G73+B73/4)</f>
        <v>-2.98479363446517</v>
      </c>
      <c r="I73" s="11" t="n">
        <f aca="false">F73*(1+D73/400)/(1+E73/100)-B73/4+H73/4</f>
        <v>99.30094</v>
      </c>
      <c r="J73" s="10" t="n">
        <f aca="false">(1+D73/400)*(F73/100*'US Raw Data'!B72)-B73/100*'US Raw Data'!B73/4+H73/100*'US Raw Data'!B73/4</f>
        <v>18151.9973419696</v>
      </c>
      <c r="K73" s="11" t="n">
        <f aca="false">J73/'US Raw Data'!B73*100</f>
        <v>99.30094</v>
      </c>
      <c r="L73" s="11" t="n">
        <f aca="false">'US Raw Data'!F73</f>
        <v>99.30094</v>
      </c>
      <c r="M73" s="11" t="n">
        <f aca="false">I73-L73</f>
        <v>0</v>
      </c>
    </row>
    <row r="74" customFormat="false" ht="15" hidden="false" customHeight="false" outlineLevel="0" collapsed="false">
      <c r="A74" s="0" t="str">
        <f aca="false">'US Construction'!A74</f>
        <v>2015-Q3</v>
      </c>
      <c r="B74" s="11" t="n">
        <f aca="false">'US Construction'!B74-'US Construction'!D74</f>
        <v>-0.746488380972423</v>
      </c>
      <c r="C74" s="11" t="n">
        <f aca="false">'US Construction'!H74</f>
        <v>2.34073334783387</v>
      </c>
      <c r="D74" s="11" t="n">
        <f aca="false">C74*100/F74</f>
        <v>2.35721167174638</v>
      </c>
      <c r="E74" s="11" t="n">
        <f aca="false">100*('US Raw Data'!B74/'US Raw Data'!B73-1)</f>
        <v>0.666539604625527</v>
      </c>
      <c r="F74" s="11" t="n">
        <f aca="false">'US Raw Data'!F73</f>
        <v>99.30094</v>
      </c>
      <c r="G74" s="11" t="n">
        <f aca="false">((1+D74/400)/(1+E74/100)-1)*F74</f>
        <v>-0.0761889265372483</v>
      </c>
      <c r="H74" s="11" t="n">
        <f aca="false">4*(L74-F74-G74+B74/4)</f>
        <v>-3.10169267482344</v>
      </c>
      <c r="I74" s="11" t="n">
        <f aca="false">F74*(1+D74/400)/(1+E74/100)-B74/4+H74/4</f>
        <v>98.63595</v>
      </c>
      <c r="J74" s="10" t="n">
        <f aca="false">(1+D74/400)*(F74/100*'US Raw Data'!B73)-B74/100*'US Raw Data'!B74/4+H74/100*'US Raw Data'!B74/4</f>
        <v>18150.618620547</v>
      </c>
      <c r="K74" s="11" t="n">
        <f aca="false">J74/'US Raw Data'!B74*100</f>
        <v>98.63595</v>
      </c>
      <c r="L74" s="11" t="n">
        <f aca="false">'US Raw Data'!F74</f>
        <v>98.63595</v>
      </c>
      <c r="M74" s="11" t="n">
        <f aca="false">I74-L74</f>
        <v>0</v>
      </c>
    </row>
    <row r="75" customFormat="false" ht="15" hidden="false" customHeight="false" outlineLevel="0" collapsed="false">
      <c r="A75" s="0" t="str">
        <f aca="false">'US Construction'!A75</f>
        <v>2015-Q4</v>
      </c>
      <c r="B75" s="11" t="n">
        <f aca="false">'US Construction'!B75-'US Construction'!D75</f>
        <v>-0.573746753278801</v>
      </c>
      <c r="C75" s="11" t="n">
        <f aca="false">'US Construction'!H75</f>
        <v>2.36219342790686</v>
      </c>
      <c r="D75" s="11" t="n">
        <f aca="false">C75*100/F75</f>
        <v>2.39486052286906</v>
      </c>
      <c r="E75" s="11" t="n">
        <f aca="false">100*('US Raw Data'!B75/'US Raw Data'!B74-1)</f>
        <v>0.182108907115053</v>
      </c>
      <c r="F75" s="11" t="n">
        <f aca="false">'US Raw Data'!F74</f>
        <v>98.63595</v>
      </c>
      <c r="G75" s="11" t="n">
        <f aca="false">((1+D75/400)/(1+E75/100)-1)*F75</f>
        <v>0.410176538397836</v>
      </c>
      <c r="H75" s="11" t="n">
        <f aca="false">4*(L75-F75-G75+B75/4)</f>
        <v>13.8094270931299</v>
      </c>
      <c r="I75" s="11" t="n">
        <f aca="false">F75*(1+D75/400)/(1+E75/100)-B75/4+H75/4</f>
        <v>102.64192</v>
      </c>
      <c r="J75" s="10" t="n">
        <f aca="false">(1+D75/400)*(F75/100*'US Raw Data'!B74)-B75/100*'US Raw Data'!B75/4+H75/100*'US Raw Data'!B75/4</f>
        <v>18922.1785714304</v>
      </c>
      <c r="K75" s="11" t="n">
        <f aca="false">J75/'US Raw Data'!B75*100</f>
        <v>102.64192</v>
      </c>
      <c r="L75" s="11" t="n">
        <f aca="false">'US Raw Data'!F75</f>
        <v>102.64192</v>
      </c>
      <c r="M75" s="11" t="n">
        <f aca="false">I75-L75</f>
        <v>0</v>
      </c>
    </row>
    <row r="76" customFormat="false" ht="15" hidden="false" customHeight="false" outlineLevel="0" collapsed="false">
      <c r="A76" s="0" t="str">
        <f aca="false">'US Construction'!A76</f>
        <v>2016-Q1</v>
      </c>
      <c r="B76" s="11" t="n">
        <f aca="false">'US Construction'!B76-'US Construction'!D76</f>
        <v>-1.03927829167902</v>
      </c>
      <c r="C76" s="11" t="n">
        <f aca="false">'US Construction'!H76</f>
        <v>2.4205136094188</v>
      </c>
      <c r="D76" s="11" t="n">
        <f aca="false">C76*100/F76</f>
        <v>2.35821154691845</v>
      </c>
      <c r="E76" s="11" t="n">
        <f aca="false">100*('US Raw Data'!B76/'US Raw Data'!B75-1)</f>
        <v>0.492516003542587</v>
      </c>
      <c r="F76" s="11" t="n">
        <f aca="false">'US Raw Data'!F75</f>
        <v>102.64192</v>
      </c>
      <c r="G76" s="11" t="n">
        <f aca="false">((1+D76/400)/(1+E76/100)-1)*F76</f>
        <v>0.099112375699507</v>
      </c>
      <c r="H76" s="11" t="n">
        <f aca="false">4*(L76-F76-G76+B76/4)</f>
        <v>3.95275220552297</v>
      </c>
      <c r="I76" s="11" t="n">
        <f aca="false">F76*(1+D76/400)/(1+E76/100)-B76/4+H76/4</f>
        <v>103.98904</v>
      </c>
      <c r="J76" s="10" t="n">
        <f aca="false">(1+D76/400)*(F76/100*'US Raw Data'!B75)-B76/100*'US Raw Data'!B76/4+H76/100*'US Raw Data'!B76/4</f>
        <v>19264.9398777432</v>
      </c>
      <c r="K76" s="11" t="n">
        <f aca="false">J76/'US Raw Data'!B76*100</f>
        <v>103.98904</v>
      </c>
      <c r="L76" s="11" t="n">
        <f aca="false">'US Raw Data'!F76</f>
        <v>103.98904</v>
      </c>
      <c r="M76" s="11" t="n">
        <f aca="false">I76-L76</f>
        <v>0</v>
      </c>
    </row>
    <row r="77" customFormat="false" ht="15" hidden="false" customHeight="false" outlineLevel="0" collapsed="false">
      <c r="A77" s="0" t="str">
        <f aca="false">'US Construction'!A77</f>
        <v>2016-Q2</v>
      </c>
      <c r="B77" s="11" t="n">
        <f aca="false">'US Construction'!B77-'US Construction'!D77</f>
        <v>-1.07564239746871</v>
      </c>
      <c r="C77" s="11" t="n">
        <f aca="false">'US Construction'!H77</f>
        <v>2.4467917486261</v>
      </c>
      <c r="D77" s="11" t="n">
        <f aca="false">C77*100/F77</f>
        <v>2.35293233654826</v>
      </c>
      <c r="E77" s="11" t="n">
        <f aca="false">100*('US Raw Data'!B77/'US Raw Data'!B76-1)</f>
        <v>1.00275111650248</v>
      </c>
      <c r="F77" s="11" t="n">
        <f aca="false">'US Raw Data'!F76</f>
        <v>103.98904</v>
      </c>
      <c r="G77" s="11" t="n">
        <f aca="false">((1+D77/400)/(1+E77/100)-1)*F77</f>
        <v>-0.426773843007977</v>
      </c>
      <c r="H77" s="11" t="n">
        <f aca="false">4*(L77-F77-G77+B77/4)</f>
        <v>-1.00450702543681</v>
      </c>
      <c r="I77" s="11" t="n">
        <f aca="false">F77*(1+D77/400)/(1+E77/100)-B77/4+H77/4</f>
        <v>103.58005</v>
      </c>
      <c r="J77" s="10" t="n">
        <f aca="false">(1+D77/400)*(F77/100*'US Raw Data'!B76)-B77/100*'US Raw Data'!B77/4+H77/100*'US Raw Data'!B77/4</f>
        <v>19381.590287451</v>
      </c>
      <c r="K77" s="11" t="n">
        <f aca="false">J77/'US Raw Data'!B77*100</f>
        <v>103.58005</v>
      </c>
      <c r="L77" s="11" t="n">
        <f aca="false">'US Raw Data'!F77</f>
        <v>103.58005</v>
      </c>
      <c r="M77" s="11" t="n">
        <f aca="false">I77-L77</f>
        <v>0</v>
      </c>
    </row>
    <row r="78" customFormat="false" ht="15" hidden="false" customHeight="false" outlineLevel="0" collapsed="false">
      <c r="A78" s="0" t="str">
        <f aca="false">'US Construction'!A78</f>
        <v>2016-Q3</v>
      </c>
      <c r="B78" s="11" t="n">
        <f aca="false">'US Construction'!B78-'US Construction'!D78</f>
        <v>-1.18699669220377</v>
      </c>
      <c r="C78" s="11" t="n">
        <f aca="false">'US Construction'!H78</f>
        <v>2.44506886653069</v>
      </c>
      <c r="D78" s="11" t="n">
        <f aca="false">C78*100/F78</f>
        <v>2.36055965075387</v>
      </c>
      <c r="E78" s="11" t="n">
        <f aca="false">100*('US Raw Data'!B78/'US Raw Data'!B77-1)</f>
        <v>0.966972432545132</v>
      </c>
      <c r="F78" s="11" t="n">
        <f aca="false">'US Raw Data'!F77</f>
        <v>103.58005</v>
      </c>
      <c r="G78" s="11" t="n">
        <f aca="false">((1+D78/400)/(1+E78/100)-1)*F78</f>
        <v>-0.386585140744488</v>
      </c>
      <c r="H78" s="11" t="n">
        <f aca="false">4*(L78-F78-G78+B78/4)</f>
        <v>0.453343870774177</v>
      </c>
      <c r="I78" s="11" t="n">
        <f aca="false">F78*(1+D78/400)/(1+E78/100)-B78/4+H78/4</f>
        <v>103.60355</v>
      </c>
      <c r="J78" s="10" t="n">
        <f aca="false">(1+D78/400)*(F78/100*'US Raw Data'!B77)-B78/100*'US Raw Data'!B78/4+H78/100*'US Raw Data'!B78/4</f>
        <v>19573.4446926845</v>
      </c>
      <c r="K78" s="11" t="n">
        <f aca="false">J78/'US Raw Data'!B78*100</f>
        <v>103.60355</v>
      </c>
      <c r="L78" s="11" t="n">
        <f aca="false">'US Raw Data'!F78</f>
        <v>103.60355</v>
      </c>
      <c r="M78" s="11" t="n">
        <f aca="false">I78-L78</f>
        <v>0</v>
      </c>
    </row>
    <row r="79" customFormat="false" ht="15" hidden="false" customHeight="false" outlineLevel="0" collapsed="false">
      <c r="A79" s="0" t="str">
        <f aca="false">'US Construction'!A79</f>
        <v>2016-Q4</v>
      </c>
      <c r="B79" s="11" t="n">
        <f aca="false">'US Construction'!B79-'US Construction'!D79</f>
        <v>-1.22546155115889</v>
      </c>
      <c r="C79" s="11" t="n">
        <f aca="false">'US Construction'!H79</f>
        <v>2.435784646073</v>
      </c>
      <c r="D79" s="11" t="n">
        <f aca="false">C79*100/F79</f>
        <v>2.35106291828128</v>
      </c>
      <c r="E79" s="11" t="n">
        <f aca="false">100*('US Raw Data'!B79/'US Raw Data'!B78-1)</f>
        <v>1.04135795957359</v>
      </c>
      <c r="F79" s="11" t="n">
        <f aca="false">'US Raw Data'!F78</f>
        <v>103.60355</v>
      </c>
      <c r="G79" s="11" t="n">
        <f aca="false">((1+D79/400)/(1+E79/100)-1)*F79</f>
        <v>-0.465094355714799</v>
      </c>
      <c r="H79" s="11" t="n">
        <f aca="false">4*(L79-F79-G79+B79/4)</f>
        <v>4.81635587170032</v>
      </c>
      <c r="I79" s="11" t="n">
        <f aca="false">F79*(1+D79/400)/(1+E79/100)-B79/4+H79/4</f>
        <v>104.64891</v>
      </c>
      <c r="J79" s="10" t="n">
        <f aca="false">(1+D79/400)*(F79/100*'US Raw Data'!B78)-B79/100*'US Raw Data'!B79/4+H79/100*'US Raw Data'!B79/4</f>
        <v>19976.8270492689</v>
      </c>
      <c r="K79" s="11" t="n">
        <f aca="false">J79/'US Raw Data'!B79*100</f>
        <v>104.64891</v>
      </c>
      <c r="L79" s="11" t="n">
        <f aca="false">'US Raw Data'!F79</f>
        <v>104.64891</v>
      </c>
      <c r="M79" s="11" t="n">
        <f aca="false">I79-L79</f>
        <v>0</v>
      </c>
    </row>
    <row r="80" customFormat="false" ht="15" hidden="false" customHeight="false" outlineLevel="0" collapsed="false">
      <c r="A80" s="0" t="str">
        <f aca="false">'US Construction'!A80</f>
        <v>2017-Q1</v>
      </c>
      <c r="B80" s="11" t="n">
        <f aca="false">'US Construction'!B80-'US Construction'!D80</f>
        <v>-1.29360950917019</v>
      </c>
      <c r="C80" s="11" t="n">
        <f aca="false">'US Construction'!H80</f>
        <v>2.41322150919629</v>
      </c>
      <c r="D80" s="11" t="n">
        <f aca="false">C80*100/F80</f>
        <v>2.30601686075497</v>
      </c>
      <c r="E80" s="11" t="n">
        <f aca="false">100*('US Raw Data'!B80/'US Raw Data'!B79-1)</f>
        <v>0.999011020735652</v>
      </c>
      <c r="F80" s="11" t="n">
        <f aca="false">'US Raw Data'!F79</f>
        <v>104.64891</v>
      </c>
      <c r="G80" s="11" t="n">
        <f aca="false">((1+D80/400)/(1+E80/100)-1)*F80</f>
        <v>-0.437775342760431</v>
      </c>
      <c r="H80" s="11" t="n">
        <f aca="false">4*(L80-F80-G80+B80/4)</f>
        <v>-6.38850813812847</v>
      </c>
      <c r="I80" s="11" t="n">
        <f aca="false">F80*(1+D80/400)/(1+E80/100)-B80/4+H80/4</f>
        <v>102.93741</v>
      </c>
      <c r="J80" s="10" t="n">
        <f aca="false">(1+D80/400)*(F80/100*'US Raw Data'!B79)-B80/100*'US Raw Data'!B80/4+H80/100*'US Raw Data'!B80/4</f>
        <v>19846.4191154244</v>
      </c>
      <c r="K80" s="11" t="n">
        <f aca="false">J80/'US Raw Data'!B80*100</f>
        <v>102.93741</v>
      </c>
      <c r="L80" s="11" t="n">
        <f aca="false">'US Raw Data'!F80</f>
        <v>102.93741</v>
      </c>
      <c r="M80" s="11" t="n">
        <f aca="false">I80-L80</f>
        <v>0</v>
      </c>
    </row>
    <row r="81" customFormat="false" ht="15" hidden="false" customHeight="false" outlineLevel="0" collapsed="false">
      <c r="A81" s="0" t="str">
        <f aca="false">'US Construction'!A81</f>
        <v>2017-Q2</v>
      </c>
      <c r="B81" s="11" t="n">
        <f aca="false">'US Construction'!B81-'US Construction'!D81</f>
        <v>-1.31997897178316</v>
      </c>
      <c r="C81" s="11" t="n">
        <f aca="false">'US Construction'!H81</f>
        <v>2.44404536826707</v>
      </c>
      <c r="D81" s="11" t="n">
        <f aca="false">C81*100/F81</f>
        <v>2.37430237293426</v>
      </c>
      <c r="E81" s="11" t="n">
        <f aca="false">100*('US Raw Data'!B81/'US Raw Data'!B80-1)</f>
        <v>0.822397869220914</v>
      </c>
      <c r="F81" s="11" t="n">
        <f aca="false">'US Raw Data'!F80</f>
        <v>102.93741</v>
      </c>
      <c r="G81" s="11" t="n">
        <f aca="false">((1+D81/400)/(1+E81/100)-1)*F81</f>
        <v>-0.23362241861174</v>
      </c>
      <c r="H81" s="11" t="n">
        <f aca="false">4*(L81-F81-G81+B81/4)</f>
        <v>-3.78244929733618</v>
      </c>
      <c r="I81" s="11" t="n">
        <f aca="false">F81*(1+D81/400)/(1+E81/100)-B81/4+H81/4</f>
        <v>102.08817</v>
      </c>
      <c r="J81" s="10" t="n">
        <f aca="false">(1+D81/400)*(F81/100*'US Raw Data'!B80)-B81/100*'US Raw Data'!B81/4+H81/100*'US Raw Data'!B81/4</f>
        <v>19844.5549115331</v>
      </c>
      <c r="K81" s="11" t="n">
        <f aca="false">J81/'US Raw Data'!B81*100</f>
        <v>102.08817</v>
      </c>
      <c r="L81" s="11" t="n">
        <f aca="false">'US Raw Data'!F81</f>
        <v>102.08817</v>
      </c>
      <c r="M81" s="11" t="n">
        <f aca="false">I81-L81</f>
        <v>0</v>
      </c>
    </row>
    <row r="82" customFormat="false" ht="15" hidden="false" customHeight="false" outlineLevel="0" collapsed="false">
      <c r="A82" s="0" t="str">
        <f aca="false">'US Construction'!A82</f>
        <v>2017-Q3</v>
      </c>
      <c r="B82" s="11" t="n">
        <f aca="false">'US Construction'!B82-'US Construction'!D82</f>
        <v>-1.32206547689627</v>
      </c>
      <c r="C82" s="11" t="n">
        <f aca="false">'US Construction'!H82</f>
        <v>2.47680355053591</v>
      </c>
      <c r="D82" s="11" t="n">
        <f aca="false">C82*100/F82</f>
        <v>2.42614158970222</v>
      </c>
      <c r="E82" s="11" t="n">
        <f aca="false">100*('US Raw Data'!B82/'US Raw Data'!B81-1)</f>
        <v>1.30642864319284</v>
      </c>
      <c r="F82" s="11" t="n">
        <f aca="false">'US Raw Data'!F81</f>
        <v>102.08817</v>
      </c>
      <c r="G82" s="11" t="n">
        <f aca="false">((1+D82/400)/(1+E82/100)-1)*F82</f>
        <v>-0.705294043158848</v>
      </c>
      <c r="H82" s="11" t="n">
        <f aca="false">4*(L82-F82-G82+B82/4)</f>
        <v>4.36495069573912</v>
      </c>
      <c r="I82" s="11" t="n">
        <f aca="false">F82*(1+D82/400)/(1+E82/100)-B82/4+H82/4</f>
        <v>102.80463</v>
      </c>
      <c r="J82" s="10" t="n">
        <f aca="false">(1+D82/400)*(F82/100*'US Raw Data'!B81)-B82/100*'US Raw Data'!B82/4+H82/100*'US Raw Data'!B82/4</f>
        <v>20244.8994271485</v>
      </c>
      <c r="K82" s="11" t="n">
        <f aca="false">J82/'US Raw Data'!B82*100</f>
        <v>102.80463</v>
      </c>
      <c r="L82" s="11" t="n">
        <f aca="false">'US Raw Data'!F82</f>
        <v>102.80463</v>
      </c>
      <c r="M82" s="11" t="n">
        <f aca="false">I82-L82</f>
        <v>0</v>
      </c>
    </row>
    <row r="83" customFormat="false" ht="15" hidden="false" customHeight="false" outlineLevel="0" collapsed="false">
      <c r="A83" s="0" t="str">
        <f aca="false">'US Construction'!A83</f>
        <v>2017-Q4</v>
      </c>
      <c r="B83" s="11" t="n">
        <f aca="false">'US Construction'!B83-'US Construction'!D83</f>
        <v>-1.36778358212531</v>
      </c>
      <c r="C83" s="11" t="n">
        <f aca="false">'US Construction'!H83</f>
        <v>2.50571852008331</v>
      </c>
      <c r="D83" s="11" t="n">
        <f aca="false">C83*100/F83</f>
        <v>2.43735960149199</v>
      </c>
      <c r="E83" s="11" t="n">
        <f aca="false">100*('US Raw Data'!B83/'US Raw Data'!B82-1)</f>
        <v>1.74935299283816</v>
      </c>
      <c r="F83" s="11" t="n">
        <f aca="false">'US Raw Data'!F82</f>
        <v>102.80463</v>
      </c>
      <c r="G83" s="11" t="n">
        <f aca="false">((1+D83/400)/(1+E83/100)-1)*F83</f>
        <v>-1.15183655442296</v>
      </c>
      <c r="H83" s="11" t="n">
        <f aca="false">4*(L83-F83-G83+B83/4)</f>
        <v>1.11736263556653</v>
      </c>
      <c r="I83" s="11" t="n">
        <f aca="false">F83*(1+D83/400)/(1+E83/100)-B83/4+H83/4</f>
        <v>102.27408</v>
      </c>
      <c r="J83" s="10" t="n">
        <f aca="false">(1+D83/400)*(F83/100*'US Raw Data'!B82)-B83/100*'US Raw Data'!B83/4+H83/100*'US Raw Data'!B83/4</f>
        <v>20492.7474107904</v>
      </c>
      <c r="K83" s="11" t="n">
        <f aca="false">J83/'US Raw Data'!B83*100</f>
        <v>102.27408</v>
      </c>
      <c r="L83" s="11" t="n">
        <f aca="false">'US Raw Data'!F83</f>
        <v>102.27408</v>
      </c>
      <c r="M83" s="11" t="n">
        <f aca="false">I83-L83</f>
        <v>0</v>
      </c>
    </row>
    <row r="84" customFormat="false" ht="15" hidden="false" customHeight="false" outlineLevel="0" collapsed="false">
      <c r="A84" s="0" t="str">
        <f aca="false">'US Construction'!A84</f>
        <v>2018-Q1</v>
      </c>
      <c r="B84" s="11" t="n">
        <f aca="false">'US Construction'!B84-'US Construction'!D84</f>
        <v>-1.85284707672012</v>
      </c>
      <c r="C84" s="11" t="n">
        <f aca="false">'US Construction'!H84</f>
        <v>2.53339706847622</v>
      </c>
      <c r="D84" s="11" t="n">
        <f aca="false">C84*100/F84</f>
        <v>2.47706659250928</v>
      </c>
      <c r="E84" s="11" t="n">
        <f aca="false">100*('US Raw Data'!B84/'US Raw Data'!B83-1)</f>
        <v>1.45462753869225</v>
      </c>
      <c r="F84" s="11" t="n">
        <f aca="false">'US Raw Data'!F83</f>
        <v>102.27408</v>
      </c>
      <c r="G84" s="11" t="n">
        <f aca="false">((1+D84/400)/(1+E84/100)-1)*F84</f>
        <v>-0.8421081287586</v>
      </c>
      <c r="H84" s="11" t="n">
        <f aca="false">4*(L84-F84-G84+B84/4)</f>
        <v>7.39506543831428</v>
      </c>
      <c r="I84" s="11" t="n">
        <f aca="false">F84*(1+D84/400)/(1+E84/100)-B84/4+H84/4</f>
        <v>103.74395</v>
      </c>
      <c r="J84" s="10" t="n">
        <f aca="false">(1+D84/400)*(F84/100*'US Raw Data'!B83)-B84/100*'US Raw Data'!B84/4+H84/100*'US Raw Data'!B84/4</f>
        <v>21089.6438600435</v>
      </c>
      <c r="K84" s="11" t="n">
        <f aca="false">J84/'US Raw Data'!B84*100</f>
        <v>103.74395</v>
      </c>
      <c r="L84" s="11" t="n">
        <f aca="false">'US Raw Data'!F84</f>
        <v>103.74395</v>
      </c>
      <c r="M84" s="11" t="n">
        <f aca="false">I84-L84</f>
        <v>0</v>
      </c>
    </row>
    <row r="85" customFormat="false" ht="15" hidden="false" customHeight="false" outlineLevel="0" collapsed="false">
      <c r="A85" s="0" t="str">
        <f aca="false">'US Construction'!A85</f>
        <v>2018-Q2</v>
      </c>
      <c r="B85" s="11" t="n">
        <f aca="false">'US Construction'!B85-'US Construction'!D85</f>
        <v>-1.79429852282542</v>
      </c>
      <c r="C85" s="11" t="n">
        <f aca="false">'US Construction'!H85</f>
        <v>2.61591663705725</v>
      </c>
      <c r="D85" s="11" t="n">
        <f aca="false">C85*100/F85</f>
        <v>2.52151247090288</v>
      </c>
      <c r="E85" s="11" t="n">
        <f aca="false">100*('US Raw Data'!B85/'US Raw Data'!B84-1)</f>
        <v>1.24140168756723</v>
      </c>
      <c r="F85" s="11" t="n">
        <f aca="false">'US Raw Data'!F84</f>
        <v>103.74395</v>
      </c>
      <c r="G85" s="11" t="n">
        <f aca="false">((1+D85/400)/(1+E85/100)-1)*F85</f>
        <v>-0.626127232750899</v>
      </c>
      <c r="H85" s="11" t="n">
        <f aca="false">4*(L85-F85-G85+B85/4)</f>
        <v>-2.32914959182181</v>
      </c>
      <c r="I85" s="11" t="n">
        <f aca="false">F85*(1+D85/400)/(1+E85/100)-B85/4+H85/4</f>
        <v>102.98411</v>
      </c>
      <c r="J85" s="10" t="n">
        <f aca="false">(1+D85/400)*(F85/100*'US Raw Data'!B84)-B85/100*'US Raw Data'!B85/4+H85/100*'US Raw Data'!B85/4</f>
        <v>21195.0690530832</v>
      </c>
      <c r="K85" s="11" t="n">
        <f aca="false">J85/'US Raw Data'!B85*100</f>
        <v>102.98411</v>
      </c>
      <c r="L85" s="11" t="n">
        <f aca="false">'US Raw Data'!F85</f>
        <v>102.98411</v>
      </c>
      <c r="M85" s="11" t="n">
        <f aca="false">I85-L85</f>
        <v>0</v>
      </c>
    </row>
    <row r="86" customFormat="false" ht="15" hidden="false" customHeight="false" outlineLevel="0" collapsed="false">
      <c r="A86" s="0" t="str">
        <f aca="false">'US Construction'!A86</f>
        <v>2018-Q3</v>
      </c>
      <c r="B86" s="11" t="n">
        <f aca="false">'US Construction'!B86-'US Construction'!D86</f>
        <v>-1.57662991923065</v>
      </c>
      <c r="C86" s="11" t="n">
        <f aca="false">'US Construction'!H86</f>
        <v>2.68156726971089</v>
      </c>
      <c r="D86" s="11" t="n">
        <f aca="false">C86*100/F86</f>
        <v>2.60386507171921</v>
      </c>
      <c r="E86" s="11" t="n">
        <f aca="false">100*('US Raw Data'!B86/'US Raw Data'!B85-1)</f>
        <v>1.05834960083402</v>
      </c>
      <c r="F86" s="11" t="n">
        <f aca="false">'US Raw Data'!F85</f>
        <v>102.98411</v>
      </c>
      <c r="G86" s="11" t="n">
        <f aca="false">((1+D86/400)/(1+E86/100)-1)*F86</f>
        <v>-0.415146399418624</v>
      </c>
      <c r="H86" s="11" t="n">
        <f aca="false">4*(L86-F86-G86+B86/4)</f>
        <v>1.94311567844382</v>
      </c>
      <c r="I86" s="11" t="n">
        <f aca="false">F86*(1+D86/400)/(1+E86/100)-B86/4+H86/4</f>
        <v>103.4489</v>
      </c>
      <c r="J86" s="10" t="n">
        <f aca="false">(1+D86/400)*(F86/100*'US Raw Data'!B85)-B86/100*'US Raw Data'!B86/4+H86/100*'US Raw Data'!B86/4</f>
        <v>21516.05739897</v>
      </c>
      <c r="K86" s="11" t="n">
        <f aca="false">J86/'US Raw Data'!B86*100</f>
        <v>103.4489</v>
      </c>
      <c r="L86" s="11" t="n">
        <f aca="false">'US Raw Data'!F86</f>
        <v>103.4489</v>
      </c>
      <c r="M86" s="11" t="n">
        <f aca="false">I86-L86</f>
        <v>0</v>
      </c>
    </row>
    <row r="87" customFormat="false" ht="15" hidden="false" customHeight="false" outlineLevel="0" collapsed="false">
      <c r="A87" s="0" t="str">
        <f aca="false">'US Construction'!A87</f>
        <v>2018-Q4</v>
      </c>
      <c r="B87" s="11" t="n">
        <f aca="false">'US Construction'!B87-'US Construction'!D87</f>
        <v>-1.86042869476128</v>
      </c>
      <c r="C87" s="11" t="n">
        <f aca="false">'US Construction'!H87</f>
        <v>2.74646096179911</v>
      </c>
      <c r="D87" s="11" t="n">
        <f aca="false">C87*100/F87</f>
        <v>2.65489624519846</v>
      </c>
      <c r="E87" s="11" t="n">
        <f aca="false">100*('US Raw Data'!B87/'US Raw Data'!B86-1)</f>
        <v>0.572809012857989</v>
      </c>
      <c r="F87" s="11" t="n">
        <f aca="false">'US Raw Data'!F86</f>
        <v>103.4489</v>
      </c>
      <c r="G87" s="11" t="n">
        <f aca="false">((1+D87/400)/(1+E87/100)-1)*F87</f>
        <v>0.0935149554541211</v>
      </c>
      <c r="H87" s="11" t="n">
        <f aca="false">4*(L87-F87-G87+B87/4)</f>
        <v>4.16755148342224</v>
      </c>
      <c r="I87" s="11" t="n">
        <f aca="false">F87*(1+D87/400)/(1+E87/100)-B87/4+H87/4</f>
        <v>105.04941</v>
      </c>
      <c r="J87" s="10" t="n">
        <f aca="false">(1+D87/400)*(F87/100*'US Raw Data'!B86)-B87/100*'US Raw Data'!B87/4+H87/100*'US Raw Data'!B87/4</f>
        <v>21974.0958680847</v>
      </c>
      <c r="K87" s="11" t="n">
        <f aca="false">J87/'US Raw Data'!B87*100</f>
        <v>105.04941</v>
      </c>
      <c r="L87" s="11" t="n">
        <f aca="false">'US Raw Data'!F87</f>
        <v>105.04941</v>
      </c>
      <c r="M87" s="11" t="n">
        <f aca="false">I87-L87</f>
        <v>0</v>
      </c>
    </row>
    <row r="88" customFormat="false" ht="15" hidden="false" customHeight="false" outlineLevel="0" collapsed="false">
      <c r="A88" s="0" t="str">
        <f aca="false">'US Construction'!A88</f>
        <v>2019-Q1</v>
      </c>
      <c r="B88" s="11" t="n">
        <f aca="false">'US Construction'!B88-'US Construction'!D88</f>
        <v>-2.15964209249891</v>
      </c>
      <c r="C88" s="11" t="n">
        <f aca="false">'US Construction'!H88</f>
        <v>2.77138199607063</v>
      </c>
      <c r="D88" s="11" t="n">
        <f aca="false">C88*100/F88</f>
        <v>2.63816997741409</v>
      </c>
      <c r="E88" s="11" t="n">
        <f aca="false">100*('US Raw Data'!B88/'US Raw Data'!B87-1)</f>
        <v>0.926160396755549</v>
      </c>
      <c r="F88" s="11" t="n">
        <f aca="false">'US Raw Data'!F87</f>
        <v>105.04941</v>
      </c>
      <c r="G88" s="11" t="n">
        <f aca="false">((1+D88/400)/(1+E88/100)-1)*F88</f>
        <v>-0.277510342538225</v>
      </c>
      <c r="H88" s="11" t="n">
        <f aca="false">4*(L88-F88-G88+B88/4)</f>
        <v>-3.88656072234599</v>
      </c>
      <c r="I88" s="11" t="n">
        <f aca="false">F88*(1+D88/400)/(1+E88/100)-B88/4+H88/4</f>
        <v>104.34017</v>
      </c>
      <c r="J88" s="10" t="n">
        <f aca="false">(1+D88/400)*(F88/100*'US Raw Data'!B87)-B88/100*'US Raw Data'!B88/4+H88/100*'US Raw Data'!B88/4</f>
        <v>22027.87932972</v>
      </c>
      <c r="K88" s="11" t="n">
        <f aca="false">J88/'US Raw Data'!B88*100</f>
        <v>104.34017</v>
      </c>
      <c r="L88" s="11" t="n">
        <f aca="false">'US Raw Data'!F88</f>
        <v>104.34017</v>
      </c>
      <c r="M88" s="11" t="n">
        <f aca="false">I88-L88</f>
        <v>0</v>
      </c>
    </row>
    <row r="89" customFormat="false" ht="15" hidden="false" customHeight="false" outlineLevel="0" collapsed="false">
      <c r="A89" s="0" t="str">
        <f aca="false">'US Construction'!A89</f>
        <v>2019-Q2</v>
      </c>
      <c r="B89" s="11" t="n">
        <f aca="false">'US Construction'!B89-'US Construction'!D89</f>
        <v>-2.19190746323314</v>
      </c>
      <c r="C89" s="11" t="n">
        <f aca="false">'US Construction'!H89</f>
        <v>2.77766251728907</v>
      </c>
      <c r="D89" s="11" t="n">
        <f aca="false">C89*100/F89</f>
        <v>2.66212190117102</v>
      </c>
      <c r="E89" s="11" t="n">
        <f aca="false">100*('US Raw Data'!B89/'US Raw Data'!B88-1)</f>
        <v>1.35630648553402</v>
      </c>
      <c r="F89" s="11" t="n">
        <f aca="false">'US Raw Data'!F88</f>
        <v>104.34017</v>
      </c>
      <c r="G89" s="11" t="n">
        <f aca="false">((1+D89/400)/(1+E89/100)-1)*F89</f>
        <v>-0.711112005159555</v>
      </c>
      <c r="H89" s="11" t="n">
        <f aca="false">4*(L89-F89-G89+B89/4)</f>
        <v>-5.01833944259493</v>
      </c>
      <c r="I89" s="11" t="n">
        <f aca="false">F89*(1+D89/400)/(1+E89/100)-B89/4+H89/4</f>
        <v>102.92245</v>
      </c>
      <c r="J89" s="10" t="n">
        <f aca="false">(1+D89/400)*(F89/100*'US Raw Data'!B88)-B89/100*'US Raw Data'!B89/4+H89/100*'US Raw Data'!B89/4</f>
        <v>22023.282039081</v>
      </c>
      <c r="K89" s="11" t="n">
        <f aca="false">J89/'US Raw Data'!B89*100</f>
        <v>102.92245</v>
      </c>
      <c r="L89" s="11" t="n">
        <f aca="false">'US Raw Data'!F89</f>
        <v>102.92245</v>
      </c>
      <c r="M89" s="11" t="n">
        <f aca="false">I89-L89</f>
        <v>0</v>
      </c>
    </row>
    <row r="90" customFormat="false" ht="15" hidden="false" customHeight="false" outlineLevel="0" collapsed="false">
      <c r="A90" s="0" t="str">
        <f aca="false">'US Construction'!A90</f>
        <v>2019-Q3</v>
      </c>
      <c r="B90" s="11" t="n">
        <f aca="false">'US Construction'!B90-'US Construction'!D90</f>
        <v>-2.23978528326733</v>
      </c>
      <c r="C90" s="11" t="n">
        <f aca="false">'US Construction'!H90</f>
        <v>2.70239123040734</v>
      </c>
      <c r="D90" s="11" t="n">
        <f aca="false">C90*100/F90</f>
        <v>2.62565769704019</v>
      </c>
      <c r="E90" s="11" t="n">
        <f aca="false">100*('US Raw Data'!B90/'US Raw Data'!B89-1)</f>
        <v>1.49188674161034</v>
      </c>
      <c r="F90" s="11" t="n">
        <f aca="false">'US Raw Data'!F89</f>
        <v>102.92245</v>
      </c>
      <c r="G90" s="11" t="n">
        <f aca="false">((1+D90/400)/(1+E90/100)-1)*F90</f>
        <v>-0.847248588725012</v>
      </c>
      <c r="H90" s="11" t="n">
        <f aca="false">4*(L90-F90-G90+B90/4)</f>
        <v>7.91908907163272</v>
      </c>
      <c r="I90" s="11" t="n">
        <f aca="false">F90*(1+D90/400)/(1+E90/100)-B90/4+H90/4</f>
        <v>104.61492</v>
      </c>
      <c r="J90" s="10" t="n">
        <f aca="false">(1+D90/400)*(F90/100*'US Raw Data'!B89)-B90/100*'US Raw Data'!B90/4+H90/100*'US Raw Data'!B90/4</f>
        <v>22719.4010679132</v>
      </c>
      <c r="K90" s="11" t="n">
        <f aca="false">J90/'US Raw Data'!B90*100</f>
        <v>104.61492</v>
      </c>
      <c r="L90" s="11" t="n">
        <f aca="false">'US Raw Data'!F90</f>
        <v>104.61492</v>
      </c>
      <c r="M90" s="11" t="n">
        <f aca="false">I90-L90</f>
        <v>0</v>
      </c>
    </row>
    <row r="91" customFormat="false" ht="15" hidden="false" customHeight="false" outlineLevel="0" collapsed="false">
      <c r="A91" s="0" t="str">
        <f aca="false">'US Construction'!A91</f>
        <v>2019-Q4</v>
      </c>
      <c r="B91" s="11" t="n">
        <f aca="false">'US Construction'!B91-'US Construction'!D91</f>
        <v>-2.0752678460255</v>
      </c>
      <c r="C91" s="11" t="n">
        <f aca="false">'US Construction'!H91</f>
        <v>2.598133062543</v>
      </c>
      <c r="D91" s="11" t="n">
        <f aca="false">C91*100/F91</f>
        <v>2.48352057483101</v>
      </c>
      <c r="E91" s="11" t="n">
        <f aca="false">100*('US Raw Data'!B91/'US Raw Data'!B90-1)</f>
        <v>0.994816497968376</v>
      </c>
      <c r="F91" s="11" t="n">
        <f aca="false">'US Raw Data'!F90</f>
        <v>104.61492</v>
      </c>
      <c r="G91" s="11" t="n">
        <f aca="false">((1+D91/400)/(1+E91/100)-1)*F91</f>
        <v>-0.38733989666542</v>
      </c>
      <c r="H91" s="11" t="n">
        <f aca="false">4*(L91-F91-G91+B91/4)</f>
        <v>4.1421317406362</v>
      </c>
      <c r="I91" s="11" t="n">
        <f aca="false">F91*(1+D91/400)/(1+E91/100)-B91/4+H91/4</f>
        <v>105.78193</v>
      </c>
      <c r="J91" s="10" t="n">
        <f aca="false">(1+D91/400)*(F91/100*'US Raw Data'!B90)-B91/100*'US Raw Data'!B91/4+H91/100*'US Raw Data'!B91/4</f>
        <v>23201.3802536881</v>
      </c>
      <c r="K91" s="11" t="n">
        <f aca="false">J91/'US Raw Data'!B91*100</f>
        <v>105.78193</v>
      </c>
      <c r="L91" s="11" t="n">
        <f aca="false">'US Raw Data'!F91</f>
        <v>105.78193</v>
      </c>
      <c r="M91" s="11" t="n">
        <f aca="false">I91-L91</f>
        <v>0</v>
      </c>
    </row>
    <row r="92" customFormat="false" ht="15" hidden="false" customHeight="false" outlineLevel="0" collapsed="false">
      <c r="A92" s="0" t="str">
        <f aca="false">'US Construction'!A92</f>
        <v>2020-Q1</v>
      </c>
      <c r="B92" s="11" t="n">
        <f aca="false">'US Construction'!B92-'US Construction'!D92</f>
        <v>-2.44254143143484</v>
      </c>
      <c r="C92" s="11" t="n">
        <f aca="false">'US Construction'!H92</f>
        <v>2.48081255020638</v>
      </c>
      <c r="D92" s="11" t="n">
        <f aca="false">C92*100/F92</f>
        <v>2.34521392283766</v>
      </c>
      <c r="E92" s="11" t="n">
        <f aca="false">100*('US Raw Data'!B92/'US Raw Data'!B91-1)</f>
        <v>-0.829695890028348</v>
      </c>
      <c r="F92" s="11" t="n">
        <f aca="false">'US Raw Data'!F91</f>
        <v>105.78193</v>
      </c>
      <c r="G92" s="11" t="n">
        <f aca="false">((1+D92/400)/(1+E92/100)-1)*F92</f>
        <v>1.51040321656494</v>
      </c>
      <c r="H92" s="11" t="n">
        <f aca="false">4*(L92-F92-G92+B92/4)</f>
        <v>-4.53159429769458</v>
      </c>
      <c r="I92" s="11" t="n">
        <f aca="false">F92*(1+D92/400)/(1+E92/100)-B92/4+H92/4</f>
        <v>106.77007</v>
      </c>
      <c r="J92" s="10" t="n">
        <f aca="false">(1+D92/400)*(F92/100*'US Raw Data'!B91)-B92/100*'US Raw Data'!B92/4+H92/100*'US Raw Data'!B92/4</f>
        <v>23223.8120384666</v>
      </c>
      <c r="K92" s="11" t="n">
        <f aca="false">J92/'US Raw Data'!B92*100</f>
        <v>106.77007</v>
      </c>
      <c r="L92" s="11" t="n">
        <f aca="false">'US Raw Data'!F92</f>
        <v>106.77007</v>
      </c>
      <c r="M92" s="11" t="n">
        <f aca="false">I92-L92</f>
        <v>0</v>
      </c>
    </row>
    <row r="93" customFormat="false" ht="15" hidden="false" customHeight="false" outlineLevel="0" collapsed="false">
      <c r="A93" s="0" t="str">
        <f aca="false">'US Construction'!A93</f>
        <v>2020-Q2</v>
      </c>
      <c r="B93" s="11" t="n">
        <f aca="false">'US Construction'!B93-'US Construction'!D93</f>
        <v>-2.33521824644864</v>
      </c>
      <c r="C93" s="11" t="n">
        <f aca="false">'US Construction'!H93</f>
        <v>2.36647219804224</v>
      </c>
      <c r="D93" s="11" t="n">
        <f aca="false">C93*100/F93</f>
        <v>2.21641907516052</v>
      </c>
      <c r="E93" s="11" t="n">
        <f aca="false">100*('US Raw Data'!B93/'US Raw Data'!B92-1)</f>
        <v>-8.24296529696379</v>
      </c>
      <c r="F93" s="11" t="n">
        <f aca="false">'US Raw Data'!F92</f>
        <v>106.77007</v>
      </c>
      <c r="G93" s="11" t="n">
        <f aca="false">((1+D93/400)/(1+E93/100)-1)*F93</f>
        <v>10.2364226323932</v>
      </c>
      <c r="H93" s="11" t="n">
        <f aca="false">4*(L93-F93-G93+B93/4)</f>
        <v>60.2902912239785</v>
      </c>
      <c r="I93" s="11" t="n">
        <f aca="false">F93*(1+D93/400)/(1+E93/100)-B93/4+H93/4</f>
        <v>132.66287</v>
      </c>
      <c r="J93" s="10" t="n">
        <f aca="false">(1+D93/400)*(F93/100*'US Raw Data'!B92)-B93/100*'US Raw Data'!B93/4+H93/100*'US Raw Data'!B93/4</f>
        <v>26477.2416435517</v>
      </c>
      <c r="K93" s="11" t="n">
        <f aca="false">J93/'US Raw Data'!B93*100</f>
        <v>132.66287</v>
      </c>
      <c r="L93" s="11" t="n">
        <f aca="false">'US Raw Data'!F93</f>
        <v>132.66287</v>
      </c>
      <c r="M93" s="11" t="n">
        <f aca="false">I93-L93</f>
        <v>0</v>
      </c>
    </row>
    <row r="94" customFormat="false" ht="15" hidden="false" customHeight="false" outlineLevel="0" collapsed="false">
      <c r="A94" s="0" t="str">
        <f aca="false">'US Construction'!A94</f>
        <v>2020-Q3</v>
      </c>
      <c r="B94" s="11" t="n">
        <f aca="false">'US Construction'!B94-'US Construction'!D94</f>
        <v>-2.72020624998768</v>
      </c>
      <c r="C94" s="11" t="n">
        <f aca="false">'US Construction'!H94</f>
        <v>2.5453632277433</v>
      </c>
      <c r="D94" s="11" t="n">
        <f aca="false">C94*100/F94</f>
        <v>1.91867040698222</v>
      </c>
      <c r="E94" s="11" t="n">
        <f aca="false">100*('US Raw Data'!B94/'US Raw Data'!B93-1)</f>
        <v>8.74897555106298</v>
      </c>
      <c r="F94" s="11" t="n">
        <f aca="false">'US Raw Data'!F93</f>
        <v>132.66287</v>
      </c>
      <c r="G94" s="11" t="n">
        <f aca="false">((1+D94/400)/(1+E94/100)-1)*F94</f>
        <v>-10.0877283662792</v>
      </c>
      <c r="H94" s="11" t="n">
        <f aca="false">4*(L94-F94-G94+B94/4)</f>
        <v>3.56690721512918</v>
      </c>
      <c r="I94" s="11" t="n">
        <f aca="false">F94*(1+D94/400)/(1+E94/100)-B94/4+H94/4</f>
        <v>124.14692</v>
      </c>
      <c r="J94" s="10" t="n">
        <f aca="false">(1+D94/400)*(F94/100*'US Raw Data'!B93)-B94/100*'US Raw Data'!B94/4+H94/100*'US Raw Data'!B94/4</f>
        <v>26945.3900388404</v>
      </c>
      <c r="K94" s="11" t="n">
        <f aca="false">J94/'US Raw Data'!B94*100</f>
        <v>124.14692</v>
      </c>
      <c r="L94" s="11" t="n">
        <f aca="false">'US Raw Data'!F94</f>
        <v>124.14692</v>
      </c>
      <c r="M94" s="11" t="n">
        <f aca="false">I94-L94</f>
        <v>0</v>
      </c>
    </row>
    <row r="95" customFormat="false" ht="15" hidden="false" customHeight="false" outlineLevel="0" collapsed="false">
      <c r="A95" s="0" t="str">
        <f aca="false">'US Construction'!A95</f>
        <v>2020-Q4</v>
      </c>
      <c r="B95" s="11" t="n">
        <f aca="false">'US Construction'!B95-'US Construction'!D95</f>
        <v>-2.535625902931</v>
      </c>
      <c r="C95" s="11" t="n">
        <f aca="false">'US Construction'!H95</f>
        <v>2.38066990634219</v>
      </c>
      <c r="D95" s="11" t="n">
        <f aca="false">C95*100/F95</f>
        <v>1.9176230117849</v>
      </c>
      <c r="E95" s="11" t="n">
        <f aca="false">100*('US Raw Data'!B95/'US Raw Data'!B94-1)</f>
        <v>1.76333991063671</v>
      </c>
      <c r="F95" s="11" t="n">
        <f aca="false">'US Raw Data'!F94</f>
        <v>124.14692</v>
      </c>
      <c r="G95" s="11" t="n">
        <f aca="false">((1+D95/400)/(1+E95/100)-1)*F95</f>
        <v>-1.56634472984123</v>
      </c>
      <c r="H95" s="11" t="n">
        <f aca="false">4*(L95-F95-G95+B95/4)</f>
        <v>9.65663301643395</v>
      </c>
      <c r="I95" s="11" t="n">
        <f aca="false">F95*(1+D95/400)/(1+E95/100)-B95/4+H95/4</f>
        <v>125.62864</v>
      </c>
      <c r="J95" s="10" t="n">
        <f aca="false">(1+D95/400)*(F95/100*'US Raw Data'!B94)-B95/100*'US Raw Data'!B95/4+H95/100*'US Raw Data'!B95/4</f>
        <v>27747.798722624</v>
      </c>
      <c r="K95" s="11" t="n">
        <f aca="false">J95/'US Raw Data'!B95*100</f>
        <v>125.62864</v>
      </c>
      <c r="L95" s="11" t="n">
        <f aca="false">'US Raw Data'!F95</f>
        <v>125.62864</v>
      </c>
      <c r="M95" s="11" t="n">
        <f aca="false">I95-L95</f>
        <v>0</v>
      </c>
    </row>
    <row r="96" customFormat="false" ht="15" hidden="false" customHeight="false" outlineLevel="0" collapsed="false">
      <c r="A96" s="0" t="str">
        <f aca="false">'US Construction'!A96</f>
        <v>2021-Q1</v>
      </c>
      <c r="B96" s="11" t="n">
        <f aca="false">'US Construction'!B96-'US Construction'!D96</f>
        <v>-2.32863870861416</v>
      </c>
      <c r="C96" s="11" t="n">
        <f aca="false">'US Construction'!H96</f>
        <v>2.41551199882647</v>
      </c>
      <c r="D96" s="11" t="n">
        <f aca="false">C96*100/F96</f>
        <v>1.92273990932837</v>
      </c>
      <c r="E96" s="11" t="n">
        <f aca="false">100*('US Raw Data'!B96/'US Raw Data'!B95-1)</f>
        <v>2.68723095228178</v>
      </c>
      <c r="F96" s="11" t="n">
        <f aca="false">'US Raw Data'!F95</f>
        <v>125.62864</v>
      </c>
      <c r="G96" s="11" t="n">
        <f aca="false">((1+D96/400)/(1+E96/100)-1)*F96</f>
        <v>-2.69951158834169</v>
      </c>
      <c r="H96" s="11" t="n">
        <f aca="false">4*(L96-F96-G96+B96/4)</f>
        <v>2.1049276447526</v>
      </c>
      <c r="I96" s="11" t="n">
        <f aca="false">F96*(1+D96/400)/(1+E96/100)-B96/4+H96/4</f>
        <v>124.03752</v>
      </c>
      <c r="J96" s="10" t="n">
        <f aca="false">(1+D96/400)*(F96/100*'US Raw Data'!B95)-B96/100*'US Raw Data'!B96/4+H96/100*'US Raw Data'!B96/4</f>
        <v>28132.5691160136</v>
      </c>
      <c r="K96" s="11" t="n">
        <f aca="false">J96/'US Raw Data'!B96*100</f>
        <v>124.03752</v>
      </c>
      <c r="L96" s="11" t="n">
        <f aca="false">'US Raw Data'!F96</f>
        <v>124.03752</v>
      </c>
      <c r="M96" s="11" t="n">
        <f aca="false">I96-L96</f>
        <v>0</v>
      </c>
    </row>
    <row r="97" customFormat="false" ht="15" hidden="false" customHeight="false" outlineLevel="0" collapsed="false">
      <c r="A97" s="0" t="str">
        <f aca="false">'US Construction'!A97</f>
        <v>2021-Q2</v>
      </c>
      <c r="B97" s="11" t="n">
        <f aca="false">'US Construction'!B97-'US Construction'!D97</f>
        <v>-2.08419999663511</v>
      </c>
      <c r="C97" s="11" t="n">
        <f aca="false">'US Construction'!H97</f>
        <v>2.47185568800742</v>
      </c>
      <c r="D97" s="11" t="n">
        <f aca="false">C97*100/F97</f>
        <v>1.99282901496855</v>
      </c>
      <c r="E97" s="11" t="n">
        <f aca="false">100*('US Raw Data'!B97/'US Raw Data'!B96-1)</f>
        <v>3.28568884557452</v>
      </c>
      <c r="F97" s="11" t="n">
        <f aca="false">'US Raw Data'!F96</f>
        <v>124.03752</v>
      </c>
      <c r="G97" s="11" t="n">
        <f aca="false">((1+D97/400)/(1+E97/100)-1)*F97</f>
        <v>-3.34753350208551</v>
      </c>
      <c r="H97" s="11" t="n">
        <f aca="false">4*(L97-F97-G97+B97/4)</f>
        <v>2.29913401170692</v>
      </c>
      <c r="I97" s="11" t="n">
        <f aca="false">F97*(1+D97/400)/(1+E97/100)-B97/4+H97/4</f>
        <v>121.78582</v>
      </c>
      <c r="J97" s="10" t="n">
        <f aca="false">(1+D97/400)*(F97/100*'US Raw Data'!B96)-B97/100*'US Raw Data'!B97/4+H97/100*'US Raw Data'!B97/4</f>
        <v>28529.436585962</v>
      </c>
      <c r="K97" s="11" t="n">
        <f aca="false">J97/'US Raw Data'!B97*100</f>
        <v>121.78582</v>
      </c>
      <c r="L97" s="11" t="n">
        <f aca="false">'US Raw Data'!F97</f>
        <v>121.78582</v>
      </c>
      <c r="M97" s="11" t="n">
        <f aca="false">I97-L97</f>
        <v>0</v>
      </c>
    </row>
    <row r="98" customFormat="false" ht="15" hidden="false" customHeight="false" outlineLevel="0" collapsed="false">
      <c r="A98" s="0" t="str">
        <f aca="false">'US Construction'!A98</f>
        <v>2021-Q3</v>
      </c>
      <c r="B98" s="11" t="n">
        <f aca="false">'US Construction'!B98-'US Construction'!D98</f>
        <v>-2.04578551945844</v>
      </c>
      <c r="C98" s="11" t="n">
        <f aca="false">'US Construction'!H98</f>
        <v>2.50969972991444</v>
      </c>
      <c r="D98" s="11" t="n">
        <f aca="false">C98*100/F98</f>
        <v>2.06074872256429</v>
      </c>
      <c r="E98" s="11" t="n">
        <f aca="false">100*('US Raw Data'!B98/'US Raw Data'!B97-1)</f>
        <v>2.3754424054391</v>
      </c>
      <c r="F98" s="11" t="n">
        <f aca="false">'US Raw Data'!F97</f>
        <v>121.78582</v>
      </c>
      <c r="G98" s="11" t="n">
        <f aca="false">((1+D98/400)/(1+E98/100)-1)*F98</f>
        <v>-2.21295950120627</v>
      </c>
      <c r="H98" s="11" t="n">
        <f aca="false">4*(L98-F98-G98+B98/4)</f>
        <v>-6.17378751463338</v>
      </c>
      <c r="I98" s="11" t="n">
        <f aca="false">F98*(1+D98/400)/(1+E98/100)-B98/4+H98/4</f>
        <v>118.54086</v>
      </c>
      <c r="J98" s="10" t="n">
        <f aca="false">(1+D98/400)*(F98/100*'US Raw Data'!B97)-B98/100*'US Raw Data'!B98/4+H98/100*'US Raw Data'!B98/4</f>
        <v>28428.9183150594</v>
      </c>
      <c r="K98" s="11" t="n">
        <f aca="false">J98/'US Raw Data'!B98*100</f>
        <v>118.54086</v>
      </c>
      <c r="L98" s="11" t="n">
        <f aca="false">'US Raw Data'!F98</f>
        <v>118.54086</v>
      </c>
      <c r="M98" s="11" t="n">
        <f aca="false">I98-L98</f>
        <v>0</v>
      </c>
    </row>
    <row r="99" customFormat="false" ht="15" hidden="false" customHeight="false" outlineLevel="0" collapsed="false">
      <c r="A99" s="0" t="str">
        <f aca="false">'US Construction'!A99</f>
        <v>2021-Q4</v>
      </c>
      <c r="B99" s="11" t="n">
        <f aca="false">'US Construction'!B99-'US Construction'!D99</f>
        <v>-2.18125787668562</v>
      </c>
      <c r="C99" s="11" t="n">
        <f aca="false">'US Construction'!H99</f>
        <v>2.55304947019643</v>
      </c>
      <c r="D99" s="11" t="n">
        <f aca="false">C99*100/F99</f>
        <v>2.15372949900687</v>
      </c>
      <c r="E99" s="11" t="n">
        <f aca="false">100*('US Raw Data'!B99/'US Raw Data'!B98-1)</f>
        <v>3.46596557414089</v>
      </c>
      <c r="F99" s="11" t="n">
        <f aca="false">'US Raw Data'!F98</f>
        <v>118.54086</v>
      </c>
      <c r="G99" s="11" t="n">
        <f aca="false">((1+D99/400)/(1+E99/100)-1)*F99</f>
        <v>-3.35407204879823</v>
      </c>
      <c r="H99" s="11" t="n">
        <f aca="false">4*(L99-F99-G99+B99/4)</f>
        <v>14.5067903185073</v>
      </c>
      <c r="I99" s="11" t="n">
        <f aca="false">F99*(1+D99/400)/(1+E99/100)-B99/4+H99/4</f>
        <v>119.3588</v>
      </c>
      <c r="J99" s="10" t="n">
        <f aca="false">(1+D99/400)*(F99/100*'US Raw Data'!B98)-B99/100*'US Raw Data'!B99/4+H99/100*'US Raw Data'!B99/4</f>
        <v>29617.2151968</v>
      </c>
      <c r="K99" s="11" t="n">
        <f aca="false">J99/'US Raw Data'!B99*100</f>
        <v>119.3588</v>
      </c>
      <c r="L99" s="11" t="n">
        <f aca="false">'US Raw Data'!F99</f>
        <v>119.3588</v>
      </c>
      <c r="M99" s="11" t="n">
        <f aca="false">I99-L99</f>
        <v>0</v>
      </c>
    </row>
    <row r="100" customFormat="false" ht="15" hidden="false" customHeight="false" outlineLevel="0" collapsed="false">
      <c r="A100" s="0" t="str">
        <f aca="false">'US Construction'!A100</f>
        <v>2022-Q1</v>
      </c>
      <c r="B100" s="11" t="n">
        <f aca="false">'US Construction'!B100-'US Construction'!D100</f>
        <v>-1.15140991923794</v>
      </c>
      <c r="C100" s="11" t="n">
        <f aca="false">'US Construction'!H100</f>
        <v>2.56701163877873</v>
      </c>
      <c r="D100" s="11" t="n">
        <f aca="false">C100*100/F100</f>
        <v>2.15066810220841</v>
      </c>
      <c r="E100" s="11" t="n">
        <f aca="false">100*('US Raw Data'!B100/'US Raw Data'!B99-1)</f>
        <v>1.76011139052779</v>
      </c>
      <c r="F100" s="11" t="n">
        <f aca="false">'US Raw Data'!F99</f>
        <v>119.3588</v>
      </c>
      <c r="G100" s="11" t="n">
        <f aca="false">((1+D100/400)/(1+E100/100)-1)*F100</f>
        <v>-1.43385743663642</v>
      </c>
      <c r="H100" s="11" t="n">
        <f aca="false">4*(L100-F100-G100+B100/4)</f>
        <v>8.74157982730772</v>
      </c>
      <c r="I100" s="11" t="n">
        <f aca="false">F100*(1+D100/400)/(1+E100/100)-B100/4+H100/4</f>
        <v>120.39819</v>
      </c>
      <c r="J100" s="10" t="n">
        <f aca="false">(1+D100/400)*(F100/100*'US Raw Data'!B99)-B100/100*'US Raw Data'!B100/4+H100/100*'US Raw Data'!B100/4</f>
        <v>30400.9607567193</v>
      </c>
      <c r="K100" s="11" t="n">
        <f aca="false">J100/'US Raw Data'!B100*100</f>
        <v>120.39819</v>
      </c>
      <c r="L100" s="11" t="n">
        <f aca="false">'US Raw Data'!F100</f>
        <v>120.39819</v>
      </c>
      <c r="M100" s="11" t="n">
        <f aca="false">I100-L100</f>
        <v>0</v>
      </c>
    </row>
    <row r="101" customFormat="false" ht="15" hidden="false" customHeight="false" outlineLevel="0" collapsed="false">
      <c r="A101" s="0" t="str">
        <f aca="false">'US Construction'!A101</f>
        <v>2022-Q2</v>
      </c>
      <c r="B101" s="11" t="n">
        <f aca="false">'US Construction'!B101-'US Construction'!D101</f>
        <v>-1.00586235212069</v>
      </c>
      <c r="C101" s="11" t="n">
        <f aca="false">'US Construction'!H101</f>
        <v>2.71187560313528</v>
      </c>
      <c r="D101" s="11" t="n">
        <f aca="false">C101*100/F101</f>
        <v>2.25242223586191</v>
      </c>
      <c r="E101" s="11" t="n">
        <f aca="false">100*('US Raw Data'!B101/'US Raw Data'!B100-1)</f>
        <v>2.41955090755783</v>
      </c>
      <c r="F101" s="11" t="n">
        <f aca="false">'US Raw Data'!F100</f>
        <v>120.39819</v>
      </c>
      <c r="G101" s="11" t="n">
        <f aca="false">((1+D101/400)/(1+E101/100)-1)*F101</f>
        <v>-2.1823241541664</v>
      </c>
      <c r="H101" s="11" t="n">
        <f aca="false">4*(L101-F101-G101+B101/4)</f>
        <v>-1.06104573545507</v>
      </c>
      <c r="I101" s="11" t="n">
        <f aca="false">F101*(1+D101/400)/(1+E101/100)-B101/4+H101/4</f>
        <v>118.20207</v>
      </c>
      <c r="J101" s="10" t="n">
        <f aca="false">(1+D101/400)*(F101/100*'US Raw Data'!B100)-B101/100*'US Raw Data'!B101/4+H101/100*'US Raw Data'!B101/4</f>
        <v>30568.5824727444</v>
      </c>
      <c r="K101" s="11" t="n">
        <f aca="false">J101/'US Raw Data'!B101*100</f>
        <v>118.20207</v>
      </c>
      <c r="L101" s="11" t="n">
        <f aca="false">'US Raw Data'!F101</f>
        <v>118.20207</v>
      </c>
      <c r="M101" s="11" t="n">
        <f aca="false">I101-L101</f>
        <v>0</v>
      </c>
    </row>
    <row r="102" customFormat="false" ht="15" hidden="false" customHeight="false" outlineLevel="0" collapsed="false">
      <c r="A102" s="0" t="str">
        <f aca="false">'US Construction'!A102</f>
        <v>2022-Q3</v>
      </c>
      <c r="B102" s="11" t="n">
        <f aca="false">'US Construction'!B102-'US Construction'!D102</f>
        <v>-1.05268377825529</v>
      </c>
      <c r="C102" s="11" t="n">
        <f aca="false">'US Construction'!H102</f>
        <v>2.90813390143076</v>
      </c>
      <c r="D102" s="11" t="n">
        <f aca="false">C102*100/F102</f>
        <v>2.46030708381905</v>
      </c>
      <c r="E102" s="11" t="n">
        <f aca="false">100*('US Raw Data'!B102/'US Raw Data'!B101-1)</f>
        <v>1.83676824808288</v>
      </c>
      <c r="F102" s="11" t="n">
        <f aca="false">'US Raw Data'!F101</f>
        <v>118.20207</v>
      </c>
      <c r="G102" s="11" t="n">
        <f aca="false">((1+D102/400)/(1+E102/100)-1)*F102</f>
        <v>-1.41801889417892</v>
      </c>
      <c r="H102" s="11" t="n">
        <f aca="false">4*(L102-F102-G102+B102/4)</f>
        <v>1.56439179846036</v>
      </c>
      <c r="I102" s="11" t="n">
        <f aca="false">F102*(1+D102/400)/(1+E102/100)-B102/4+H102/4</f>
        <v>117.43832</v>
      </c>
      <c r="J102" s="10" t="n">
        <f aca="false">(1+D102/400)*(F102/100*'US Raw Data'!B101)-B102/100*'US Raw Data'!B102/4+H102/100*'US Raw Data'!B102/4</f>
        <v>30928.9129676928</v>
      </c>
      <c r="K102" s="11" t="n">
        <f aca="false">J102/'US Raw Data'!B102*100</f>
        <v>117.43832</v>
      </c>
      <c r="L102" s="11" t="n">
        <f aca="false">'US Raw Data'!F102</f>
        <v>117.43832</v>
      </c>
      <c r="M102" s="11" t="n">
        <f aca="false">I102-L102</f>
        <v>0</v>
      </c>
    </row>
    <row r="103" customFormat="false" ht="15" hidden="false" customHeight="false" outlineLevel="0" collapsed="false">
      <c r="A103" s="0" t="str">
        <f aca="false">'US Construction'!A103</f>
        <v>2022-Q4</v>
      </c>
      <c r="B103" s="11" t="n">
        <f aca="false">'US Construction'!B103-'US Construction'!D103</f>
        <v>-1.46605328534223</v>
      </c>
      <c r="C103" s="11" t="n">
        <f aca="false">'US Construction'!H103</f>
        <v>3.12536641436095</v>
      </c>
      <c r="D103" s="11" t="n">
        <f aca="false">C103*100/F103</f>
        <v>2.66128331396511</v>
      </c>
      <c r="E103" s="11" t="n">
        <f aca="false">100*('US Raw Data'!B103/'US Raw Data'!B102-1)</f>
        <v>1.64871274268401</v>
      </c>
      <c r="F103" s="11" t="n">
        <f aca="false">'US Raw Data'!F102</f>
        <v>117.43832</v>
      </c>
      <c r="G103" s="11" t="n">
        <f aca="false">((1+D103/400)/(1+E103/100)-1)*F103</f>
        <v>-1.13614714036496</v>
      </c>
      <c r="H103" s="11" t="n">
        <f aca="false">4*(L103-F103-G103+B103/4)</f>
        <v>2.79237527611763</v>
      </c>
      <c r="I103" s="11" t="n">
        <f aca="false">F103*(1+D103/400)/(1+E103/100)-B103/4+H103/4</f>
        <v>117.36678</v>
      </c>
      <c r="J103" s="10" t="n">
        <f aca="false">(1+D103/400)*(F103/100*'US Raw Data'!B102)-B103/100*'US Raw Data'!B103/4+H103/100*'US Raw Data'!B103/4</f>
        <v>31419.6902712492</v>
      </c>
      <c r="K103" s="11" t="n">
        <f aca="false">J103/'US Raw Data'!B103*100</f>
        <v>117.36678</v>
      </c>
      <c r="L103" s="11" t="n">
        <f aca="false">'US Raw Data'!F103</f>
        <v>117.36678</v>
      </c>
      <c r="M103" s="11" t="n">
        <f aca="false">I103-L103</f>
        <v>0</v>
      </c>
    </row>
    <row r="104" customFormat="false" ht="15" hidden="false" customHeight="false" outlineLevel="0" collapsed="false">
      <c r="A104" s="0" t="str">
        <f aca="false">'US Construction'!A104</f>
        <v>2023-Q1</v>
      </c>
      <c r="B104" s="11" t="n">
        <f aca="false">'US Construction'!B104-'US Construction'!D104</f>
        <v>-3.01412620200765</v>
      </c>
      <c r="C104" s="11" t="n">
        <f aca="false">'US Construction'!H104</f>
        <v>3.21722250084552</v>
      </c>
      <c r="D104" s="11" t="n">
        <f aca="false">C104*100/F104</f>
        <v>2.74116960595283</v>
      </c>
      <c r="E104" s="11" t="n">
        <f aca="false">100*('US Raw Data'!B104/'US Raw Data'!B103-1)</f>
        <v>1.66575434450007</v>
      </c>
      <c r="F104" s="11" t="n">
        <f aca="false">'US Raw Data'!F103</f>
        <v>117.36678</v>
      </c>
      <c r="G104" s="11" t="n">
        <f aca="false">((1+D104/400)/(1+E104/100)-1)*F104</f>
        <v>-1.13188223414852</v>
      </c>
      <c r="H104" s="11" t="n">
        <f aca="false">4*(L104-F104-G104+B104/4)</f>
        <v>-5.60915726541361</v>
      </c>
      <c r="I104" s="11" t="n">
        <f aca="false">F104*(1+D104/400)/(1+E104/100)-B104/4+H104/4</f>
        <v>115.58614</v>
      </c>
      <c r="J104" s="10" t="n">
        <f aca="false">(1+D104/400)*(F104/100*'US Raw Data'!B103)-B104/100*'US Raw Data'!B104/4+H104/100*'US Raw Data'!B104/4</f>
        <v>31458.438220723</v>
      </c>
      <c r="K104" s="11" t="n">
        <f aca="false">J104/'US Raw Data'!B104*100</f>
        <v>115.58614</v>
      </c>
      <c r="L104" s="11" t="n">
        <f aca="false">'US Raw Data'!F104</f>
        <v>115.58614</v>
      </c>
      <c r="M104" s="11" t="n">
        <f aca="false">I104-L104</f>
        <v>0</v>
      </c>
    </row>
    <row r="105" customFormat="false" ht="15" hidden="false" customHeight="false" outlineLevel="0" collapsed="false">
      <c r="A105" s="0" t="str">
        <f aca="false">'US Construction'!A105</f>
        <v>2023-Q2</v>
      </c>
      <c r="B105" s="11" t="n">
        <f aca="false">'US Construction'!B105-'US Construction'!D105</f>
        <v>-3.00825406996099</v>
      </c>
      <c r="C105" s="11" t="n">
        <f aca="false">'US Construction'!H105</f>
        <v>3.28516821355618</v>
      </c>
      <c r="D105" s="11" t="n">
        <f aca="false">C105*100/F105</f>
        <v>2.84218178196467</v>
      </c>
      <c r="E105" s="11" t="n">
        <f aca="false">100*('US Raw Data'!B105/'US Raw Data'!B104-1)</f>
        <v>1.152281277</v>
      </c>
      <c r="F105" s="11" t="n">
        <f aca="false">'US Raw Data'!F104</f>
        <v>115.58614</v>
      </c>
      <c r="G105" s="11" t="n">
        <f aca="false">((1+D105/400)/(1+E105/100)-1)*F105</f>
        <v>-0.504769037526464</v>
      </c>
      <c r="H105" s="11" t="n">
        <f aca="false">4*(L105-F105-G105+B105/4)</f>
        <v>6.44046208014487</v>
      </c>
      <c r="I105" s="11" t="n">
        <f aca="false">F105*(1+D105/400)/(1+E105/100)-B105/4+H105/4</f>
        <v>117.44355</v>
      </c>
      <c r="J105" s="10" t="n">
        <f aca="false">(1+D105/400)*(F105/100*'US Raw Data'!B104)-B105/100*'US Raw Data'!B105/4+H105/100*'US Raw Data'!B105/4</f>
        <v>32332.2739089525</v>
      </c>
      <c r="K105" s="11" t="n">
        <f aca="false">J105/'US Raw Data'!B105*100</f>
        <v>117.44355</v>
      </c>
      <c r="L105" s="11" t="n">
        <f aca="false">'US Raw Data'!F105</f>
        <v>117.44355</v>
      </c>
      <c r="M105" s="11" t="n">
        <f aca="false">I105-L105</f>
        <v>0</v>
      </c>
    </row>
    <row r="106" customFormat="false" ht="15" hidden="false" customHeight="false" outlineLevel="0" collapsed="false">
      <c r="A106" s="0" t="str">
        <f aca="false">'US Construction'!A106</f>
        <v>2023-Q3</v>
      </c>
      <c r="B106" s="11" t="n">
        <f aca="false">'US Construction'!B106-'US Construction'!D106</f>
        <v>-2.69347514853688</v>
      </c>
      <c r="C106" s="11" t="n">
        <f aca="false">'US Construction'!H106</f>
        <v>3.51215789434493</v>
      </c>
      <c r="D106" s="11" t="n">
        <f aca="false">C106*100/F106</f>
        <v>2.99050726442187</v>
      </c>
      <c r="E106" s="11" t="n">
        <f aca="false">100*('US Raw Data'!B106/'US Raw Data'!B105-1)</f>
        <v>1.97889542901386</v>
      </c>
      <c r="F106" s="11" t="n">
        <f aca="false">'US Raw Data'!F105</f>
        <v>117.44355</v>
      </c>
      <c r="G106" s="11" t="n">
        <f aca="false">((1+D106/400)/(1+E106/100)-1)*F106</f>
        <v>-1.41798512618912</v>
      </c>
      <c r="H106" s="11" t="n">
        <f aca="false">4*(L106-F106-G106+B106/4)</f>
        <v>5.76014535621959</v>
      </c>
      <c r="I106" s="11" t="n">
        <f aca="false">F106*(1+D106/400)/(1+E106/100)-B106/4+H106/4</f>
        <v>118.13897</v>
      </c>
      <c r="J106" s="10" t="n">
        <f aca="false">(1+D106/400)*(F106/100*'US Raw Data'!B105)-B106/100*'US Raw Data'!B106/4+H106/100*'US Raw Data'!B106/4</f>
        <v>33167.3338934862</v>
      </c>
      <c r="K106" s="11" t="n">
        <f aca="false">J106/'US Raw Data'!B106*100</f>
        <v>118.13897</v>
      </c>
      <c r="L106" s="11" t="n">
        <f aca="false">'US Raw Data'!F106</f>
        <v>118.13897</v>
      </c>
      <c r="M106" s="11" t="n">
        <f aca="false">I106-L106</f>
        <v>0</v>
      </c>
    </row>
    <row r="107" customFormat="false" ht="15" hidden="false" customHeight="false" outlineLevel="0" collapsed="false">
      <c r="A107" s="0" t="str">
        <f aca="false">'US Construction'!A107</f>
        <v>2023-Q4</v>
      </c>
      <c r="B107" s="11" t="n">
        <f aca="false">'US Construction'!B107-'US Construction'!D107</f>
        <v>-2.49819153904126</v>
      </c>
      <c r="C107" s="11" t="n">
        <f aca="false">'US Construction'!H107</f>
        <v>3.67402905789759</v>
      </c>
      <c r="D107" s="11" t="n">
        <f aca="false">C107*100/F107</f>
        <v>3.1099213560924</v>
      </c>
      <c r="E107" s="11" t="n">
        <f aca="false">100*('US Raw Data'!B107/'US Raw Data'!B106-1)</f>
        <v>1.24622589203161</v>
      </c>
      <c r="F107" s="11" t="n">
        <f aca="false">'US Raw Data'!F106</f>
        <v>118.13897</v>
      </c>
      <c r="G107" s="11" t="n">
        <f aca="false">((1+D107/400)/(1+E107/100)-1)*F107</f>
        <v>-0.546954874975389</v>
      </c>
      <c r="H107" s="11" t="n">
        <f aca="false">4*(L107-F107-G107+B107/4)</f>
        <v>5.61150796086028</v>
      </c>
      <c r="I107" s="11" t="n">
        <f aca="false">F107*(1+D107/400)/(1+E107/100)-B107/4+H107/4</f>
        <v>119.61944</v>
      </c>
      <c r="J107" s="10" t="n">
        <f aca="false">(1+D107/400)*(F107/100*'US Raw Data'!B106)-B107/100*'US Raw Data'!B107/4+H107/100*'US Raw Data'!B107/4</f>
        <v>34001.4932779568</v>
      </c>
      <c r="K107" s="11" t="n">
        <f aca="false">J107/'US Raw Data'!B107*100</f>
        <v>119.61944</v>
      </c>
      <c r="L107" s="11" t="n">
        <f aca="false">'US Raw Data'!F107</f>
        <v>119.61944</v>
      </c>
      <c r="M107" s="11" t="n">
        <f aca="false">I107-L107</f>
        <v>0</v>
      </c>
    </row>
    <row r="108" customFormat="false" ht="15" hidden="false" customHeight="false" outlineLevel="0" collapsed="false">
      <c r="A108" s="0" t="str">
        <f aca="false">'US Construction'!A108</f>
        <v>2024-Q1</v>
      </c>
      <c r="B108" s="11" t="n">
        <f aca="false">'US Construction'!B108-'US Construction'!D108</f>
        <v>-2.53972729218009</v>
      </c>
      <c r="C108" s="11" t="n">
        <f aca="false">'US Construction'!H108</f>
        <v>3.76845901958162</v>
      </c>
      <c r="D108" s="11" t="n">
        <f aca="false">C108*100/F108</f>
        <v>3.15037340049545</v>
      </c>
      <c r="E108" s="11" t="n">
        <f aca="false">100*('US Raw Data'!B108/'US Raw Data'!B107-1)</f>
        <v>0.997156630063079</v>
      </c>
      <c r="F108" s="11" t="n">
        <f aca="false">'US Raw Data'!F107</f>
        <v>119.61944</v>
      </c>
      <c r="G108" s="11" t="n">
        <f aca="false">((1+D108/400)/(1+E108/100)-1)*F108</f>
        <v>-0.248203444803028</v>
      </c>
      <c r="H108" s="11" t="n">
        <f aca="false">4*(L108-F108-G108+B108/4)</f>
        <v>1.88056648703203</v>
      </c>
      <c r="I108" s="11" t="n">
        <f aca="false">F108*(1+D108/400)/(1+E108/100)-B108/4+H108/4</f>
        <v>120.47631</v>
      </c>
      <c r="J108" s="10" t="n">
        <f aca="false">(1+D108/400)*(F108/100*'US Raw Data'!B107)-B108/100*'US Raw Data'!B108/4+H108/100*'US Raw Data'!B108/4</f>
        <v>34586.5330416591</v>
      </c>
      <c r="K108" s="11" t="n">
        <f aca="false">J108/'US Raw Data'!B108*100</f>
        <v>120.47631</v>
      </c>
      <c r="L108" s="11" t="n">
        <f aca="false">'US Raw Data'!F108</f>
        <v>120.47631</v>
      </c>
      <c r="M108" s="11" t="n">
        <f aca="false">I108-L108</f>
        <v>0</v>
      </c>
    </row>
    <row r="109" customFormat="false" ht="15" hidden="false" customHeight="false" outlineLevel="0" collapsed="false">
      <c r="A109" s="0" t="str">
        <f aca="false">'US Construction'!A109</f>
        <v>2024-Q2</v>
      </c>
      <c r="B109" s="11" t="n">
        <f aca="false">'US Construction'!B109-'US Construction'!D109</f>
        <v>-2.41519517382277</v>
      </c>
      <c r="C109" s="11" t="n">
        <f aca="false">'US Construction'!H109</f>
        <v>3.84408113079762</v>
      </c>
      <c r="D109" s="11" t="n">
        <f aca="false">C109*100/F109</f>
        <v>3.19073611301476</v>
      </c>
      <c r="E109" s="11" t="n">
        <f aca="false">100*('US Raw Data'!B109/'US Raw Data'!B108-1)</f>
        <v>1.5287743439923</v>
      </c>
      <c r="F109" s="11" t="n">
        <f aca="false">'US Raw Data'!F108</f>
        <v>120.47631</v>
      </c>
      <c r="G109" s="11" t="n">
        <f aca="false">((1+D109/400)/(1+E109/100)-1)*F109</f>
        <v>-0.867528088327944</v>
      </c>
      <c r="H109" s="11" t="n">
        <f aca="false">4*(L109-F109-G109+B109/4)</f>
        <v>-2.83776282051098</v>
      </c>
      <c r="I109" s="11" t="n">
        <f aca="false">F109*(1+D109/400)/(1+E109/100)-B109/4+H109/4</f>
        <v>119.50314</v>
      </c>
      <c r="J109" s="10" t="n">
        <f aca="false">(1+D109/400)*(F109/100*'US Raw Data'!B108)-B109/100*'US Raw Data'!B109/4+H109/100*'US Raw Data'!B109/4</f>
        <v>34831.6327971816</v>
      </c>
      <c r="K109" s="11" t="n">
        <f aca="false">J109/'US Raw Data'!B109*100</f>
        <v>119.50314</v>
      </c>
      <c r="L109" s="11" t="n">
        <f aca="false">'US Raw Data'!F109</f>
        <v>119.50314</v>
      </c>
      <c r="M109" s="11" t="n">
        <f aca="false">I109-L109</f>
        <v>0</v>
      </c>
    </row>
    <row r="110" customFormat="false" ht="15" hidden="false" customHeight="false" outlineLevel="0" collapsed="false">
      <c r="A110" s="0" t="str">
        <f aca="false">'US Construction'!A110</f>
        <v>2024-Q3</v>
      </c>
      <c r="B110" s="11" t="n">
        <f aca="false">'US Construction'!B110-'US Construction'!D110</f>
        <v>-2.74252919116997</v>
      </c>
      <c r="C110" s="11" t="n">
        <f aca="false">'US Construction'!H110</f>
        <v>3.93241249438537</v>
      </c>
      <c r="D110" s="11" t="n">
        <f aca="false">C110*100/F110</f>
        <v>3.29063528739526</v>
      </c>
      <c r="E110" s="11" t="n">
        <f aca="false">100*('US Raw Data'!B110/'US Raw Data'!B109-1)</f>
        <v>1.25096733651617</v>
      </c>
      <c r="F110" s="11" t="n">
        <f aca="false">'US Raw Data'!F109</f>
        <v>119.50314</v>
      </c>
      <c r="G110" s="11" t="n">
        <f aca="false">((1+D110/400)/(1+E110/100)-1)*F110</f>
        <v>-0.505518255656462</v>
      </c>
      <c r="H110" s="11" t="n">
        <f aca="false">4*(L110-F110-G110+B110/4)</f>
        <v>1.95386383145584</v>
      </c>
      <c r="I110" s="11" t="n">
        <f aca="false">F110*(1+D110/400)/(1+E110/100)-B110/4+H110/4</f>
        <v>120.17172</v>
      </c>
      <c r="J110" s="10" t="n">
        <f aca="false">(1+D110/400)*(F110/100*'US Raw Data'!B109)-B110/100*'US Raw Data'!B110/4+H110/100*'US Raw Data'!B110/4</f>
        <v>35464.6742294208</v>
      </c>
      <c r="K110" s="11" t="n">
        <f aca="false">J110/'US Raw Data'!B110*100</f>
        <v>120.17172</v>
      </c>
      <c r="L110" s="11" t="n">
        <f aca="false">'US Raw Data'!F110</f>
        <v>120.17172</v>
      </c>
      <c r="M110" s="11" t="n">
        <f aca="false">I110-L110</f>
        <v>0</v>
      </c>
    </row>
    <row r="111" customFormat="false" ht="15" hidden="false" customHeight="false" outlineLevel="0" collapsed="false">
      <c r="A111" s="0" t="str">
        <f aca="false">'US Construction'!A111</f>
        <v>2024-Q4</v>
      </c>
      <c r="B111" s="11" t="n">
        <f aca="false">'US Construction'!B111-'US Construction'!D111</f>
        <v>-2.61139395561777</v>
      </c>
      <c r="C111" s="11" t="n">
        <f aca="false">'US Construction'!H111</f>
        <v>3.9157941077128</v>
      </c>
      <c r="D111" s="11" t="n">
        <f aca="false">C111*100/F111</f>
        <v>3.25849884458074</v>
      </c>
      <c r="E111" s="11" t="n">
        <f aca="false">100*('US Raw Data'!B111/'US Raw Data'!B110-1)</f>
        <v>1.06235283784744</v>
      </c>
      <c r="F111" s="11" t="n">
        <f aca="false">'US Raw Data'!F110</f>
        <v>120.17172</v>
      </c>
      <c r="G111" s="11" t="n">
        <f aca="false">((1+D111/400)/(1+E111/100)-1)*F111</f>
        <v>-0.294569780360759</v>
      </c>
      <c r="H111" s="11" t="n">
        <f aca="false">4*(L111-F111-G111+B111/4)</f>
        <v>3.62532516582528</v>
      </c>
      <c r="I111" s="11" t="n">
        <f aca="false">F111*(1+D111/400)/(1+E111/100)-B111/4+H111/4</f>
        <v>121.43633</v>
      </c>
      <c r="J111" s="10" t="n">
        <f aca="false">(1+D111/400)*(F111/100*'US Raw Data'!B110)-B111/100*'US Raw Data'!B111/4+H111/100*'US Raw Data'!B111/4</f>
        <v>36218.6064366206</v>
      </c>
      <c r="K111" s="11" t="n">
        <f aca="false">J111/'US Raw Data'!B111*100</f>
        <v>121.43633</v>
      </c>
      <c r="L111" s="11" t="n">
        <f aca="false">'US Raw Data'!F111</f>
        <v>121.43633</v>
      </c>
      <c r="M111" s="11" t="n">
        <f aca="false">I111-L111</f>
        <v>0</v>
      </c>
    </row>
    <row r="112" customFormat="false" ht="15" hidden="false" customHeight="false" outlineLevel="0" collapsed="false">
      <c r="A112" s="0" t="str">
        <f aca="false">'US Construction'!A112</f>
        <v>2025-Q1</v>
      </c>
      <c r="B112" s="11" t="n">
        <f aca="false">'US Construction'!B112-'US Construction'!D112</f>
        <v>-2.58526422558893</v>
      </c>
      <c r="C112" s="11" t="n">
        <f aca="false">'US Construction'!H112</f>
        <v>3.83639570078734</v>
      </c>
      <c r="D112" s="11" t="n">
        <f aca="false">C112*100/F112</f>
        <v>3.1591828415659</v>
      </c>
      <c r="E112" s="11" t="n">
        <f aca="false">100*('US Raw Data'!B112/'US Raw Data'!B111-1)</f>
        <v>0.72734174765472</v>
      </c>
      <c r="F112" s="11" t="n">
        <f aca="false">'US Raw Data'!F111</f>
        <v>121.43633</v>
      </c>
      <c r="G112" s="11" t="n">
        <f aca="false">((1+D112/400)/(1+E112/100)-1)*F112</f>
        <v>0.0752941544681119</v>
      </c>
      <c r="H112" s="11" t="n">
        <f aca="false">4*(L112-F112-G112+B112/4)</f>
        <v>-6.45116084346134</v>
      </c>
      <c r="I112" s="11" t="n">
        <f aca="false">F112*(1+D112/400)/(1+E112/100)-B112/4+H112/4</f>
        <v>120.54515</v>
      </c>
      <c r="J112" s="10" t="n">
        <f aca="false">(1+D112/400)*(F112/100*'US Raw Data'!B111)-B112/100*'US Raw Data'!B112/4+H112/100*'US Raw Data'!B112/4</f>
        <v>36214.3101790195</v>
      </c>
      <c r="K112" s="11" t="n">
        <f aca="false">J112/'US Raw Data'!B112*100</f>
        <v>120.54515</v>
      </c>
      <c r="L112" s="11" t="n">
        <f aca="false">'US Raw Data'!F112</f>
        <v>120.54515</v>
      </c>
      <c r="M112" s="11" t="n">
        <f aca="false">I112-L112</f>
        <v>0</v>
      </c>
    </row>
    <row r="113" customFormat="false" ht="15" hidden="false" customHeight="false" outlineLevel="0" collapsed="false">
      <c r="A113" s="0" t="str">
        <f aca="false">'US Construction'!A113</f>
        <v>2025-Q2</v>
      </c>
      <c r="B113" s="11" t="n">
        <f aca="false">'US Construction'!B113-'US Construction'!D113</f>
        <v>-2.40013614238977</v>
      </c>
      <c r="C113" s="11" t="n">
        <f aca="false">'US Construction'!H113</f>
        <v>3.86424217231325</v>
      </c>
      <c r="D113" s="11" t="n">
        <f aca="false">C113*100/F113</f>
        <v>3.20563886005637</v>
      </c>
      <c r="E113" s="11" t="n">
        <f aca="false">100*('US Raw Data'!B113/'US Raw Data'!B112-1)</f>
        <v>1.4766471319777</v>
      </c>
      <c r="F113" s="11" t="n">
        <f aca="false">'US Raw Data'!F112</f>
        <v>120.54515</v>
      </c>
      <c r="G113" s="11" t="n">
        <f aca="false">((1+D113/400)/(1+E113/100)-1)*F113</f>
        <v>-0.802121453693956</v>
      </c>
      <c r="H113" s="11" t="n">
        <f aca="false">4*(L113-F113-G113+B113/4)</f>
        <v>-6.24541032761396</v>
      </c>
      <c r="I113" s="11" t="n">
        <f aca="false">F113*(1+D113/400)/(1+E113/100)-B113/4+H113/4</f>
        <v>118.78171</v>
      </c>
      <c r="J113" s="10" t="n">
        <f aca="false">(1+D113/400)*(F113/100*'US Raw Data'!B112)-B113/100*'US Raw Data'!B113/4+H113/100*'US Raw Data'!B113/4</f>
        <v>36211.4702121659</v>
      </c>
      <c r="K113" s="11" t="n">
        <f aca="false">J113/'US Raw Data'!B113*100</f>
        <v>118.78171</v>
      </c>
      <c r="L113" s="11" t="n">
        <f aca="false">'US Raw Data'!F113</f>
        <v>118.78171</v>
      </c>
      <c r="M113" s="11" t="n">
        <f aca="false">I113-L113</f>
        <v>0</v>
      </c>
    </row>
    <row r="114" customFormat="false" ht="15" hidden="false" customHeight="false" outlineLevel="0" collapsed="false">
      <c r="A114" s="0" t="str">
        <f aca="false">'US Construction'!A114</f>
        <v>2025-Q3</v>
      </c>
      <c r="B114" s="11" t="n">
        <f aca="false">'US Construction'!B114-'US Construction'!D114</f>
        <v>-1.88900729940199</v>
      </c>
      <c r="C114" s="11" t="n">
        <f aca="false">'US Construction'!H114</f>
        <v>3.93360775463168</v>
      </c>
      <c r="D114" s="11" t="n">
        <f aca="false">C114*100/F114</f>
        <v>3.31162748425804</v>
      </c>
      <c r="E114" s="11" t="n">
        <f aca="false">100*('US Raw Data'!B114/'US Raw Data'!B113-1)</f>
        <v>2.00847419459773</v>
      </c>
      <c r="F114" s="11" t="n">
        <f aca="false">'US Raw Data'!F113</f>
        <v>118.78171</v>
      </c>
      <c r="G114" s="11" t="n">
        <f aca="false">((1+D114/400)/(1+E114/100)-1)*F114</f>
        <v>-1.37468780477873</v>
      </c>
      <c r="H114" s="11" t="n">
        <f aca="false">4*(L114-F114-G114+B114/4)</f>
        <v>12.5979039197129</v>
      </c>
      <c r="I114" s="11" t="n">
        <f aca="false">F114*(1+D114/400)/(1+E114/100)-B114/4+H114/4</f>
        <v>121.02875</v>
      </c>
      <c r="J114" s="10" t="n">
        <f aca="false">(1+D114/400)*(F114/100*'US Raw Data'!B113)-B114/100*'US Raw Data'!B114/4+H114/100*'US Raw Data'!B114/4</f>
        <v>37637.5533527625</v>
      </c>
      <c r="K114" s="11" t="n">
        <f aca="false">J114/'US Raw Data'!B114*100</f>
        <v>121.02875</v>
      </c>
      <c r="L114" s="11" t="n">
        <f aca="false">'US Raw Data'!F114</f>
        <v>121.02875</v>
      </c>
      <c r="M114" s="11" t="n">
        <f aca="false">I114-L114</f>
        <v>0</v>
      </c>
    </row>
    <row r="115" customFormat="false" ht="15" hidden="false" customHeight="false" outlineLevel="0" collapsed="false">
      <c r="A115" s="0" t="str">
        <f aca="false">'US Construction'!A115</f>
        <v>2025-Q4</v>
      </c>
      <c r="B115" s="11" t="n">
        <f aca="false">'US Construction'!B115-'US Construction'!D115</f>
        <v>-1.45656335840091</v>
      </c>
      <c r="C115" s="11" t="n">
        <f aca="false">'US Construction'!H115</f>
        <v>3.94717967155923</v>
      </c>
      <c r="D115" s="11" t="n">
        <f aca="false">C115*100/F115</f>
        <v>3.2613570507497</v>
      </c>
      <c r="E115" s="11" t="n">
        <f aca="false">100*('US Raw Data'!B115/'US Raw Data'!B114-1)</f>
        <v>1.04347134305338</v>
      </c>
      <c r="F115" s="11" t="n">
        <f aca="false">'US Raw Data'!F114</f>
        <v>121.02875</v>
      </c>
      <c r="G115" s="11" t="n">
        <f aca="false">((1+D115/400)/(1+E115/100)-1)*F115</f>
        <v>-0.273254077226334</v>
      </c>
      <c r="H115" s="11" t="n">
        <f aca="false">4*(L115-F115-G115+B115/4)</f>
        <v>5.79405295050443</v>
      </c>
      <c r="I115" s="11" t="n">
        <f aca="false">F115*(1+D115/400)/(1+E115/100)-B115/4+H115/4</f>
        <v>122.56815</v>
      </c>
      <c r="J115" s="10" t="n">
        <f aca="false">(1+D115/400)*(F115/100*'US Raw Data'!B114)-B115/100*'US Raw Data'!B115/4+H115/100*'US Raw Data'!B115/4</f>
        <v>38514.008801469</v>
      </c>
      <c r="K115" s="11" t="n">
        <f aca="false">J115/'US Raw Data'!B115*100</f>
        <v>122.56815</v>
      </c>
      <c r="L115" s="11" t="n">
        <f aca="false">'US Raw Data'!F115</f>
        <v>122.56815</v>
      </c>
      <c r="M115" s="11" t="n">
        <f aca="false">I115-L115</f>
        <v>0</v>
      </c>
    </row>
    <row r="117" customFormat="false" ht="69.75" hidden="false" customHeight="true" outlineLevel="0" collapsed="false">
      <c r="A117" s="8" t="s">
        <v>217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</sheetData>
  <mergeCells count="3">
    <mergeCell ref="A1:M1"/>
    <mergeCell ref="A2:M2"/>
    <mergeCell ref="A117:M1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5"/>
  </cols>
  <sheetData>
    <row r="1" customFormat="false" ht="19.7" hidden="false" customHeight="false" outlineLevel="0" collapsed="false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09.5" hidden="false" customHeight="true" outlineLevel="0" collapsed="false">
      <c r="A2" s="8" t="s">
        <v>219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customFormat="false" ht="28.35" hidden="false" customHeight="false" outlineLevel="0" collapsed="false">
      <c r="A4" s="5" t="s">
        <v>220</v>
      </c>
      <c r="B4" s="5" t="s">
        <v>177</v>
      </c>
      <c r="C4" s="5" t="s">
        <v>221</v>
      </c>
      <c r="D4" s="5" t="s">
        <v>183</v>
      </c>
      <c r="E4" s="5" t="s">
        <v>222</v>
      </c>
      <c r="F4" s="5" t="s">
        <v>223</v>
      </c>
      <c r="G4" s="5" t="s">
        <v>224</v>
      </c>
      <c r="H4" s="5" t="s">
        <v>225</v>
      </c>
      <c r="I4" s="5" t="s">
        <v>226</v>
      </c>
      <c r="J4" s="5" t="s">
        <v>193</v>
      </c>
      <c r="K4" s="5" t="s">
        <v>195</v>
      </c>
      <c r="L4" s="5" t="s">
        <v>182</v>
      </c>
      <c r="M4" s="5" t="s">
        <v>227</v>
      </c>
    </row>
    <row r="5" customFormat="false" ht="64.9" hidden="false" customHeight="false" outlineLevel="0" collapsed="false">
      <c r="B5" s="9" t="s">
        <v>228</v>
      </c>
      <c r="C5" s="9" t="s">
        <v>228</v>
      </c>
      <c r="D5" s="9" t="s">
        <v>229</v>
      </c>
      <c r="E5" s="9" t="s">
        <v>230</v>
      </c>
      <c r="F5" s="9" t="s">
        <v>231</v>
      </c>
      <c r="G5" s="9" t="s">
        <v>232</v>
      </c>
      <c r="H5" s="9" t="s">
        <v>233</v>
      </c>
      <c r="I5" s="9" t="s">
        <v>234</v>
      </c>
      <c r="J5" s="9" t="s">
        <v>235</v>
      </c>
      <c r="K5" s="9" t="s">
        <v>236</v>
      </c>
      <c r="L5" s="9" t="s">
        <v>237</v>
      </c>
      <c r="M5" s="9" t="s">
        <v>238</v>
      </c>
    </row>
    <row r="6" customFormat="false" ht="15" hidden="false" customHeight="false" outlineLevel="0" collapsed="false">
      <c r="A6" s="0" t="s">
        <v>239</v>
      </c>
      <c r="B6" s="12" t="n">
        <v>19.032</v>
      </c>
      <c r="C6" s="12" t="n">
        <v>20.4829</v>
      </c>
      <c r="D6" s="12" t="n">
        <v>3.95743</v>
      </c>
      <c r="E6" s="12" t="n">
        <v>3.91915</v>
      </c>
      <c r="F6" s="12" t="n">
        <v>3.99384</v>
      </c>
      <c r="G6" s="12" t="n">
        <v>1009.17</v>
      </c>
      <c r="H6" s="12" t="n">
        <v>488.191</v>
      </c>
      <c r="I6" s="11" t="n">
        <f aca="false">(G6-1008.81)+(H6-487.232)</f>
        <v>1.31899999999996</v>
      </c>
      <c r="J6" s="11" t="n">
        <f aca="false">B6-C6</f>
        <v>-1.4509</v>
      </c>
      <c r="K6" s="11" t="n">
        <f aca="false">D6*100/L6</f>
        <v>3.22875885782726</v>
      </c>
      <c r="L6" s="11" t="n">
        <f aca="false">122.56815</f>
        <v>122.56815</v>
      </c>
      <c r="M6" s="11" t="n">
        <f aca="false">L6*(1+K6/400)/(1+I6/100)-J6/4</f>
        <v>122.311725187527</v>
      </c>
    </row>
    <row r="7" customFormat="false" ht="15" hidden="false" customHeight="false" outlineLevel="0" collapsed="false">
      <c r="A7" s="0" t="s">
        <v>240</v>
      </c>
      <c r="B7" s="12" t="n">
        <v>19.1393</v>
      </c>
      <c r="C7" s="12" t="n">
        <v>20.4896</v>
      </c>
      <c r="D7" s="12" t="n">
        <v>3.94955</v>
      </c>
      <c r="E7" s="12" t="n">
        <v>3.88195</v>
      </c>
      <c r="F7" s="12" t="n">
        <v>4.01306</v>
      </c>
      <c r="G7" s="12" t="n">
        <v>1009.66</v>
      </c>
      <c r="H7" s="12" t="n">
        <v>489.238</v>
      </c>
      <c r="I7" s="11" t="n">
        <f aca="false">(G7-G6)+(H7-H6)</f>
        <v>1.53700000000003</v>
      </c>
      <c r="J7" s="11" t="n">
        <f aca="false">B7-C7</f>
        <v>-1.3503</v>
      </c>
      <c r="K7" s="11" t="n">
        <f aca="false">D7*100/L7</f>
        <v>3.22908535052106</v>
      </c>
      <c r="L7" s="11" t="n">
        <f aca="false">M6</f>
        <v>122.311725187527</v>
      </c>
      <c r="M7" s="11" t="n">
        <f aca="false">L7*(1+K7/400)/(1+I7/100)-J7/4</f>
        <v>121.770267208285</v>
      </c>
    </row>
    <row r="8" customFormat="false" ht="15" hidden="false" customHeight="false" outlineLevel="0" collapsed="false">
      <c r="A8" s="0" t="s">
        <v>241</v>
      </c>
      <c r="B8" s="12" t="n">
        <v>19.2987</v>
      </c>
      <c r="C8" s="12" t="n">
        <v>20.5015</v>
      </c>
      <c r="D8" s="12" t="n">
        <v>3.95681</v>
      </c>
      <c r="E8" s="12" t="n">
        <v>3.85117</v>
      </c>
      <c r="F8" s="12" t="n">
        <v>4.05111</v>
      </c>
      <c r="G8" s="12" t="n">
        <v>1010.13</v>
      </c>
      <c r="H8" s="12" t="n">
        <v>490.231</v>
      </c>
      <c r="I8" s="11" t="n">
        <f aca="false">(G8-G7)+(H8-H7)</f>
        <v>1.46300000000002</v>
      </c>
      <c r="J8" s="11" t="n">
        <f aca="false">B8-C8</f>
        <v>-1.2028</v>
      </c>
      <c r="K8" s="11" t="n">
        <f aca="false">D8*100/L8</f>
        <v>3.24940569706722</v>
      </c>
      <c r="L8" s="11" t="n">
        <f aca="false">M7</f>
        <v>121.770267208285</v>
      </c>
      <c r="M8" s="11" t="n">
        <f aca="false">L8*(1+K8/400)/(1+I8/100)-J8/4</f>
        <v>121.290094861462</v>
      </c>
    </row>
    <row r="9" customFormat="false" ht="15" hidden="false" customHeight="false" outlineLevel="0" collapsed="false">
      <c r="A9" s="0" t="s">
        <v>242</v>
      </c>
      <c r="B9" s="12" t="n">
        <v>19.3462</v>
      </c>
      <c r="C9" s="12" t="n">
        <v>20.5424</v>
      </c>
      <c r="D9" s="12" t="n">
        <v>3.9784</v>
      </c>
      <c r="E9" s="12" t="n">
        <v>3.83564</v>
      </c>
      <c r="F9" s="12" t="n">
        <v>4.10417</v>
      </c>
      <c r="G9" s="12" t="n">
        <v>1010.65</v>
      </c>
      <c r="H9" s="12" t="n">
        <v>491.186</v>
      </c>
      <c r="I9" s="11" t="n">
        <f aca="false">(G9-G8)+(H9-H8)</f>
        <v>1.47499999999997</v>
      </c>
      <c r="J9" s="11" t="n">
        <f aca="false">B9-C9</f>
        <v>-1.1962</v>
      </c>
      <c r="K9" s="11" t="n">
        <f aca="false">D9*100/L9</f>
        <v>3.28006998802676</v>
      </c>
      <c r="L9" s="11" t="n">
        <f aca="false">M8</f>
        <v>121.290094861462</v>
      </c>
      <c r="M9" s="11" t="n">
        <f aca="false">L9*(1+K9/400)/(1+I9/100)-J9/4</f>
        <v>120.806263462884</v>
      </c>
    </row>
    <row r="10" customFormat="false" ht="15" hidden="false" customHeight="false" outlineLevel="0" collapsed="false">
      <c r="A10" s="0" t="s">
        <v>243</v>
      </c>
      <c r="B10" s="12" t="n">
        <v>19.4201</v>
      </c>
      <c r="C10" s="12" t="n">
        <v>20.5436</v>
      </c>
      <c r="D10" s="12" t="n">
        <v>4.01202</v>
      </c>
      <c r="E10" s="12" t="n">
        <v>3.82215</v>
      </c>
      <c r="F10" s="12" t="n">
        <v>4.18203</v>
      </c>
      <c r="G10" s="12" t="n">
        <v>1011.23</v>
      </c>
      <c r="H10" s="12" t="n">
        <v>492.136</v>
      </c>
      <c r="I10" s="11" t="n">
        <f aca="false">(G10-G9)+(H10-H9)</f>
        <v>1.53000000000009</v>
      </c>
      <c r="J10" s="11" t="n">
        <f aca="false">B10-C10</f>
        <v>-1.1235</v>
      </c>
      <c r="K10" s="11" t="n">
        <f aca="false">D10*100/L10</f>
        <v>3.321036414004</v>
      </c>
      <c r="L10" s="11" t="n">
        <f aca="false">M9</f>
        <v>120.806263462884</v>
      </c>
      <c r="M10" s="11" t="n">
        <f aca="false">L10*(1+K10/400)/(1+I10/100)-J10/4</f>
        <v>120.254546292115</v>
      </c>
    </row>
    <row r="11" customFormat="false" ht="15" hidden="false" customHeight="false" outlineLevel="0" collapsed="false">
      <c r="A11" s="0" t="s">
        <v>244</v>
      </c>
      <c r="B11" s="12" t="n">
        <v>19.4969</v>
      </c>
      <c r="C11" s="12" t="n">
        <v>20.4949</v>
      </c>
      <c r="D11" s="12" t="n">
        <v>4.05644</v>
      </c>
      <c r="E11" s="12" t="n">
        <v>3.81616</v>
      </c>
      <c r="F11" s="12" t="n">
        <v>4.25917</v>
      </c>
      <c r="G11" s="12" t="n">
        <v>1011.87</v>
      </c>
      <c r="H11" s="12" t="n">
        <v>493.102</v>
      </c>
      <c r="I11" s="11" t="n">
        <f aca="false">(G11-G10)+(H11-H10)</f>
        <v>1.60599999999994</v>
      </c>
      <c r="J11" s="11" t="n">
        <f aca="false">B11-C11</f>
        <v>-0.998000000000001</v>
      </c>
      <c r="K11" s="11" t="n">
        <f aca="false">D11*100/L11</f>
        <v>3.37321134632727</v>
      </c>
      <c r="L11" s="11" t="n">
        <f aca="false">M10</f>
        <v>120.254546292115</v>
      </c>
      <c r="M11" s="11" t="n">
        <f aca="false">L11*(1+K11/400)/(1+I11/100)-J11/4</f>
        <v>119.601365334838</v>
      </c>
    </row>
    <row r="12" customFormat="false" ht="15" hidden="false" customHeight="false" outlineLevel="0" collapsed="false">
      <c r="A12" s="0" t="s">
        <v>245</v>
      </c>
      <c r="B12" s="12" t="n">
        <v>19.5799</v>
      </c>
      <c r="C12" s="12" t="n">
        <v>20.3888</v>
      </c>
      <c r="D12" s="12" t="n">
        <v>4.1093</v>
      </c>
      <c r="E12" s="12" t="n">
        <v>3.84083</v>
      </c>
      <c r="F12" s="12" t="n">
        <v>4.34629</v>
      </c>
      <c r="G12" s="12" t="n">
        <v>1012.59</v>
      </c>
      <c r="H12" s="12" t="n">
        <v>494.082</v>
      </c>
      <c r="I12" s="11" t="n">
        <f aca="false">(G12-G11)+(H12-H11)</f>
        <v>1.70000000000005</v>
      </c>
      <c r="J12" s="11" t="n">
        <f aca="false">B12-C12</f>
        <v>-0.808900000000001</v>
      </c>
      <c r="K12" s="11" t="n">
        <f aca="false">D12*100/L12</f>
        <v>3.4358303423172</v>
      </c>
      <c r="L12" s="11" t="n">
        <f aca="false">M11</f>
        <v>119.601365334838</v>
      </c>
      <c r="M12" s="11" t="n">
        <f aca="false">L12*(1+K12/400)/(1+I12/100)-J12/4</f>
        <v>118.814506548513</v>
      </c>
    </row>
    <row r="13" customFormat="false" ht="15" hidden="false" customHeight="false" outlineLevel="0" collapsed="false">
      <c r="A13" s="0" t="s">
        <v>246</v>
      </c>
      <c r="B13" s="12" t="n">
        <v>19.675</v>
      </c>
      <c r="C13" s="12" t="n">
        <v>20.2493</v>
      </c>
      <c r="D13" s="12" t="n">
        <v>4.16857</v>
      </c>
      <c r="E13" s="12" t="n">
        <v>3.86257</v>
      </c>
      <c r="F13" s="12" t="n">
        <v>4.43066</v>
      </c>
      <c r="G13" s="12" t="n">
        <v>1013.37</v>
      </c>
      <c r="H13" s="12" t="n">
        <v>495.071</v>
      </c>
      <c r="I13" s="11" t="n">
        <f aca="false">(G13-G12)+(H13-H12)</f>
        <v>1.76900000000001</v>
      </c>
      <c r="J13" s="11" t="n">
        <f aca="false">B13-C13</f>
        <v>-0.574300000000001</v>
      </c>
      <c r="K13" s="11" t="n">
        <f aca="false">D13*100/L13</f>
        <v>3.50846889078981</v>
      </c>
      <c r="L13" s="11" t="n">
        <f aca="false">M12</f>
        <v>118.814506548513</v>
      </c>
      <c r="M13" s="11" t="n">
        <f aca="false">L13*(1+K13/400)/(1+I13/100)-J13/4</f>
        <v>117.916815425388</v>
      </c>
    </row>
    <row r="14" customFormat="false" ht="15" hidden="false" customHeight="false" outlineLevel="0" collapsed="false">
      <c r="A14" s="0" t="s">
        <v>247</v>
      </c>
      <c r="B14" s="12" t="n">
        <v>19.775</v>
      </c>
      <c r="C14" s="12" t="n">
        <v>20.0845</v>
      </c>
      <c r="D14" s="12" t="n">
        <v>4.23208</v>
      </c>
      <c r="E14" s="12" t="n">
        <v>3.88557</v>
      </c>
      <c r="F14" s="12" t="n">
        <v>4.5319</v>
      </c>
      <c r="G14" s="12" t="n">
        <v>1014.21</v>
      </c>
      <c r="H14" s="12" t="n">
        <v>496.074</v>
      </c>
      <c r="I14" s="11" t="n">
        <f aca="false">(G14-G13)+(H14-H13)</f>
        <v>1.84300000000002</v>
      </c>
      <c r="J14" s="11" t="n">
        <f aca="false">B14-C14</f>
        <v>-0.3095</v>
      </c>
      <c r="K14" s="11" t="n">
        <f aca="false">D14*100/L14</f>
        <v>3.58903858176009</v>
      </c>
      <c r="L14" s="11" t="n">
        <f aca="false">M13</f>
        <v>117.916815425388</v>
      </c>
      <c r="M14" s="11" t="n">
        <f aca="false">L14*(1+K14/400)/(1+I14/100)-J14/4</f>
        <v>116.899184476732</v>
      </c>
    </row>
    <row r="15" customFormat="false" ht="15" hidden="false" customHeight="false" outlineLevel="0" collapsed="false">
      <c r="A15" s="0" t="s">
        <v>248</v>
      </c>
      <c r="B15" s="12" t="n">
        <v>19.9</v>
      </c>
      <c r="C15" s="12" t="n">
        <v>19.8898</v>
      </c>
      <c r="D15" s="12" t="n">
        <v>4.2981</v>
      </c>
      <c r="E15" s="12" t="n">
        <v>3.89286</v>
      </c>
      <c r="F15" s="12" t="n">
        <v>4.63641</v>
      </c>
      <c r="G15" s="12" t="n">
        <v>1015.09</v>
      </c>
      <c r="H15" s="12" t="n">
        <v>497.09</v>
      </c>
      <c r="I15" s="11" t="n">
        <f aca="false">(G15-G14)+(H15-H14)</f>
        <v>1.89599999999996</v>
      </c>
      <c r="J15" s="11" t="n">
        <f aca="false">B15-C15</f>
        <v>0.0101999999999975</v>
      </c>
      <c r="K15" s="11" t="n">
        <f aca="false">D15*100/L15</f>
        <v>3.67675789975722</v>
      </c>
      <c r="L15" s="11" t="n">
        <f aca="false">M14</f>
        <v>116.899184476732</v>
      </c>
      <c r="M15" s="11" t="n">
        <f aca="false">L15*(1+K15/400)/(1+I15/100)-J15/4</f>
        <v>115.775998202806</v>
      </c>
    </row>
    <row r="16" customFormat="false" ht="15" hidden="false" customHeight="false" outlineLevel="0" collapsed="false">
      <c r="A16" s="0" t="s">
        <v>249</v>
      </c>
      <c r="B16" s="12" t="n">
        <v>20.0469</v>
      </c>
      <c r="C16" s="12" t="n">
        <v>19.6704</v>
      </c>
      <c r="D16" s="12" t="n">
        <v>4.3654</v>
      </c>
      <c r="E16" s="12" t="n">
        <v>3.90904</v>
      </c>
      <c r="F16" s="12" t="n">
        <v>4.74161</v>
      </c>
      <c r="G16" s="12" t="n">
        <v>1016.01</v>
      </c>
      <c r="H16" s="12" t="n">
        <v>498.122</v>
      </c>
      <c r="I16" s="11" t="n">
        <f aca="false">(G16-G15)+(H16-H15)</f>
        <v>1.952</v>
      </c>
      <c r="J16" s="11" t="n">
        <f aca="false">B16-C16</f>
        <v>0.3765</v>
      </c>
      <c r="K16" s="11" t="n">
        <f aca="false">D16*100/L16</f>
        <v>3.77055699606499</v>
      </c>
      <c r="L16" s="11" t="n">
        <f aca="false">M15</f>
        <v>115.775998202806</v>
      </c>
      <c r="M16" s="11" t="n">
        <f aca="false">L16*(1+K16/400)/(1+I16/100)-J16/4</f>
        <v>114.535649994906</v>
      </c>
    </row>
    <row r="17" customFormat="false" ht="15" hidden="false" customHeight="false" outlineLevel="0" collapsed="false">
      <c r="A17" s="0" t="s">
        <v>250</v>
      </c>
      <c r="B17" s="12" t="n">
        <v>20.2121</v>
      </c>
      <c r="C17" s="12" t="n">
        <v>19.4332</v>
      </c>
      <c r="D17" s="12" t="n">
        <v>4.43274</v>
      </c>
      <c r="E17" s="12" t="n">
        <v>3.94096</v>
      </c>
      <c r="F17" s="12" t="n">
        <v>4.85809</v>
      </c>
      <c r="G17" s="12" t="n">
        <v>1016.96</v>
      </c>
      <c r="H17" s="12" t="n">
        <v>499.168</v>
      </c>
      <c r="I17" s="11" t="n">
        <f aca="false">(G17-G16)+(H17-H16)</f>
        <v>1.99600000000004</v>
      </c>
      <c r="J17" s="11" t="n">
        <f aca="false">B17-C17</f>
        <v>0.7789</v>
      </c>
      <c r="K17" s="11" t="n">
        <f aca="false">D17*100/L17</f>
        <v>3.87018365041553</v>
      </c>
      <c r="L17" s="11" t="n">
        <f aca="false">M16</f>
        <v>114.535649994906</v>
      </c>
      <c r="M17" s="11" t="n">
        <f aca="false">L17*(1+K17/400)/(1+I17/100)-J17/4</f>
        <v>113.186030122658</v>
      </c>
    </row>
    <row r="18" customFormat="false" ht="15" hidden="false" customHeight="false" outlineLevel="0" collapsed="false">
      <c r="A18" s="0" t="s">
        <v>251</v>
      </c>
      <c r="B18" s="12" t="n">
        <v>20.3919</v>
      </c>
      <c r="C18" s="12" t="n">
        <v>19.1834</v>
      </c>
      <c r="D18" s="12" t="n">
        <v>4.49947</v>
      </c>
      <c r="E18" s="12" t="n">
        <v>3.96408</v>
      </c>
      <c r="F18" s="12" t="n">
        <v>4.99296</v>
      </c>
      <c r="G18" s="12" t="n">
        <v>1017.92</v>
      </c>
      <c r="H18" s="12" t="n">
        <v>500.229</v>
      </c>
      <c r="I18" s="11" t="n">
        <f aca="false">(G18-G17)+(H18-H17)</f>
        <v>2.0209999999999</v>
      </c>
      <c r="J18" s="11" t="n">
        <f aca="false">B18-C18</f>
        <v>1.2085</v>
      </c>
      <c r="K18" s="11" t="n">
        <f aca="false">D18*100/L18</f>
        <v>3.97528740527785</v>
      </c>
      <c r="L18" s="11" t="n">
        <f aca="false">M17</f>
        <v>113.186030122658</v>
      </c>
      <c r="M18" s="11" t="n">
        <f aca="false">L18*(1+K18/400)/(1+I18/100)-J18/4</f>
        <v>111.744314088676</v>
      </c>
    </row>
    <row r="19" customFormat="false" ht="15" hidden="false" customHeight="false" outlineLevel="0" collapsed="false">
      <c r="A19" s="0" t="s">
        <v>252</v>
      </c>
      <c r="B19" s="12" t="n">
        <v>20.5789</v>
      </c>
      <c r="C19" s="12" t="n">
        <v>18.926</v>
      </c>
      <c r="D19" s="12" t="n">
        <v>4.56515</v>
      </c>
      <c r="E19" s="12" t="n">
        <v>3.98004</v>
      </c>
      <c r="F19" s="12" t="n">
        <v>5.07877</v>
      </c>
      <c r="G19" s="12" t="n">
        <v>1018.88</v>
      </c>
      <c r="H19" s="12" t="n">
        <v>501.302</v>
      </c>
      <c r="I19" s="11" t="n">
        <f aca="false">(G19-G18)+(H19-H18)</f>
        <v>2.03300000000007</v>
      </c>
      <c r="J19" s="11" t="n">
        <f aca="false">B19-C19</f>
        <v>1.6529</v>
      </c>
      <c r="K19" s="11" t="n">
        <f aca="false">D19*100/L19</f>
        <v>4.08535327925257</v>
      </c>
      <c r="L19" s="11" t="n">
        <f aca="false">M18</f>
        <v>111.744314088676</v>
      </c>
      <c r="M19" s="11" t="n">
        <f aca="false">L19*(1+K19/400)/(1+I19/100)-J19/4</f>
        <v>110.223139302408</v>
      </c>
    </row>
    <row r="20" customFormat="false" ht="15" hidden="false" customHeight="false" outlineLevel="0" collapsed="false">
      <c r="A20" s="0" t="s">
        <v>253</v>
      </c>
      <c r="B20" s="12" t="n">
        <v>20.768</v>
      </c>
      <c r="C20" s="12" t="n">
        <v>18.6666</v>
      </c>
      <c r="D20" s="12" t="n">
        <v>4.62935</v>
      </c>
      <c r="E20" s="12" t="n">
        <v>3.9915</v>
      </c>
      <c r="F20" s="12" t="n">
        <v>5.18417</v>
      </c>
      <c r="G20" s="12" t="n">
        <v>1019.84</v>
      </c>
      <c r="H20" s="12" t="n">
        <v>502.386</v>
      </c>
      <c r="I20" s="11" t="n">
        <f aca="false">(G20-G19)+(H20-H19)</f>
        <v>2.04400000000004</v>
      </c>
      <c r="J20" s="11" t="n">
        <f aca="false">B20-C20</f>
        <v>2.1014</v>
      </c>
      <c r="K20" s="11" t="n">
        <f aca="false">D20*100/L20</f>
        <v>4.19998017594014</v>
      </c>
      <c r="L20" s="11" t="n">
        <f aca="false">M19</f>
        <v>110.223139302408</v>
      </c>
      <c r="M20" s="11" t="n">
        <f aca="false">L20*(1+K20/400)/(1+I20/100)-J20/4</f>
        <v>108.624111803151</v>
      </c>
    </row>
    <row r="21" customFormat="false" ht="15" hidden="false" customHeight="false" outlineLevel="0" collapsed="false">
      <c r="A21" s="0" t="s">
        <v>254</v>
      </c>
      <c r="B21" s="12" t="n">
        <v>20.9547</v>
      </c>
      <c r="C21" s="12" t="n">
        <v>18.4095</v>
      </c>
      <c r="D21" s="12" t="n">
        <v>4.6918</v>
      </c>
      <c r="E21" s="12" t="n">
        <v>4.00961</v>
      </c>
      <c r="F21" s="12" t="n">
        <v>5.30038</v>
      </c>
      <c r="G21" s="12" t="n">
        <v>1020.79</v>
      </c>
      <c r="H21" s="12" t="n">
        <v>503.478</v>
      </c>
      <c r="I21" s="11" t="n">
        <f aca="false">(G21-G20)+(H21-H20)</f>
        <v>2.04199999999992</v>
      </c>
      <c r="J21" s="11" t="n">
        <f aca="false">B21-C21</f>
        <v>2.5452</v>
      </c>
      <c r="K21" s="11" t="n">
        <f aca="false">D21*100/L21</f>
        <v>4.31929883901145</v>
      </c>
      <c r="L21" s="11" t="n">
        <f aca="false">M20</f>
        <v>108.624111803151</v>
      </c>
      <c r="M21" s="11" t="n">
        <f aca="false">L21*(1+K21/400)/(1+I21/100)-J21/4</f>
        <v>106.963572408568</v>
      </c>
    </row>
    <row r="22" customFormat="false" ht="15" hidden="false" customHeight="false" outlineLevel="0" collapsed="false">
      <c r="A22" s="0" t="s">
        <v>255</v>
      </c>
      <c r="B22" s="12" t="n">
        <v>21.1361</v>
      </c>
      <c r="C22" s="12" t="n">
        <v>18.1575</v>
      </c>
      <c r="D22" s="12" t="n">
        <v>4.75233</v>
      </c>
      <c r="E22" s="12" t="n">
        <v>4.0154</v>
      </c>
      <c r="F22" s="12" t="n">
        <v>5.40333</v>
      </c>
      <c r="G22" s="12" t="n">
        <v>1021.74</v>
      </c>
      <c r="H22" s="12" t="n">
        <v>504.578</v>
      </c>
      <c r="I22" s="11" t="n">
        <f aca="false">(G22-G21)+(H22-H21)</f>
        <v>2.05000000000001</v>
      </c>
      <c r="J22" s="11" t="n">
        <f aca="false">B22-C22</f>
        <v>2.9786</v>
      </c>
      <c r="K22" s="11" t="n">
        <f aca="false">D22*100/L22</f>
        <v>4.4429424831171</v>
      </c>
      <c r="L22" s="11" t="n">
        <f aca="false">M21</f>
        <v>106.963572408568</v>
      </c>
      <c r="M22" s="11" t="n">
        <f aca="false">L22*(1+K22/400)/(1+I22/100)-J22/4</f>
        <v>105.234433692864</v>
      </c>
    </row>
    <row r="23" customFormat="false" ht="15" hidden="false" customHeight="false" outlineLevel="0" collapsed="false">
      <c r="A23" s="0" t="s">
        <v>256</v>
      </c>
      <c r="B23" s="12" t="n">
        <v>21.31</v>
      </c>
      <c r="C23" s="12" t="n">
        <v>17.9125</v>
      </c>
      <c r="D23" s="12" t="n">
        <v>4.81093</v>
      </c>
      <c r="E23" s="12" t="n">
        <v>4.0372</v>
      </c>
      <c r="F23" s="12" t="n">
        <v>5.50022</v>
      </c>
      <c r="G23" s="12" t="n">
        <v>1022.68</v>
      </c>
      <c r="H23" s="12" t="n">
        <v>505.684</v>
      </c>
      <c r="I23" s="11" t="n">
        <f aca="false">(G23-G22)+(H23-H22)</f>
        <v>2.04599999999999</v>
      </c>
      <c r="J23" s="11" t="n">
        <f aca="false">B23-C23</f>
        <v>3.3975</v>
      </c>
      <c r="K23" s="11" t="n">
        <f aca="false">D23*100/L23</f>
        <v>4.57163100629315</v>
      </c>
      <c r="L23" s="11" t="n">
        <f aca="false">M22</f>
        <v>105.234433692864</v>
      </c>
      <c r="M23" s="11" t="n">
        <f aca="false">L23*(1+K23/400)/(1+I23/100)-J23/4</f>
        <v>103.453749270294</v>
      </c>
    </row>
    <row r="24" customFormat="false" ht="15" hidden="false" customHeight="false" outlineLevel="0" collapsed="false">
      <c r="A24" s="0" t="s">
        <v>257</v>
      </c>
      <c r="B24" s="12" t="n">
        <v>21.4755</v>
      </c>
      <c r="C24" s="12" t="n">
        <v>17.6762</v>
      </c>
      <c r="D24" s="12" t="n">
        <v>4.86767</v>
      </c>
      <c r="E24" s="12" t="n">
        <v>4.03449</v>
      </c>
      <c r="F24" s="12" t="n">
        <v>5.60716</v>
      </c>
      <c r="G24" s="12" t="n">
        <v>1023.61</v>
      </c>
      <c r="H24" s="12" t="n">
        <v>506.798</v>
      </c>
      <c r="I24" s="11" t="n">
        <f aca="false">(G24-G23)+(H24-H23)</f>
        <v>2.04400000000004</v>
      </c>
      <c r="J24" s="11" t="n">
        <f aca="false">B24-C24</f>
        <v>3.7993</v>
      </c>
      <c r="K24" s="11" t="n">
        <f aca="false">D24*100/L24</f>
        <v>4.70516538485445</v>
      </c>
      <c r="L24" s="11" t="n">
        <f aca="false">M23</f>
        <v>103.453749270294</v>
      </c>
      <c r="M24" s="11" t="n">
        <f aca="false">L24*(1+K24/400)/(1+I24/100)-J24/4</f>
        <v>101.624228124431</v>
      </c>
    </row>
    <row r="25" customFormat="false" ht="15" hidden="false" customHeight="false" outlineLevel="0" collapsed="false">
      <c r="A25" s="0" t="s">
        <v>258</v>
      </c>
      <c r="B25" s="12" t="n">
        <v>21.6321</v>
      </c>
      <c r="C25" s="12" t="n">
        <v>17.4488</v>
      </c>
      <c r="D25" s="12" t="n">
        <v>4.92276</v>
      </c>
      <c r="E25" s="12" t="n">
        <v>4.02741</v>
      </c>
      <c r="F25" s="12" t="n">
        <v>5.73599</v>
      </c>
      <c r="G25" s="12" t="n">
        <v>1024.53</v>
      </c>
      <c r="H25" s="12" t="n">
        <v>507.918</v>
      </c>
      <c r="I25" s="11" t="n">
        <f aca="false">(G25-G24)+(H25-H24)</f>
        <v>2.03999999999996</v>
      </c>
      <c r="J25" s="11" t="n">
        <f aca="false">B25-C25</f>
        <v>4.1833</v>
      </c>
      <c r="K25" s="11" t="n">
        <f aca="false">D25*100/L25</f>
        <v>4.84408107284463</v>
      </c>
      <c r="L25" s="11" t="n">
        <f aca="false">M24</f>
        <v>101.624228124431</v>
      </c>
      <c r="M25" s="11" t="n">
        <f aca="false">L25*(1+K25/400)/(1+I25/100)-J25/4</f>
        <v>99.7528011509515</v>
      </c>
    </row>
    <row r="27" customFormat="false" ht="55.5" hidden="false" customHeight="true" outlineLevel="0" collapsed="false">
      <c r="A27" s="8" t="s">
        <v>259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</sheetData>
  <mergeCells count="3">
    <mergeCell ref="A1:M1"/>
    <mergeCell ref="A2:M2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5"/>
  </cols>
  <sheetData>
    <row r="1" customFormat="false" ht="19.7" hidden="false" customHeight="false" outlineLevel="0" collapsed="false">
      <c r="A1" s="1" t="s">
        <v>260</v>
      </c>
      <c r="B1" s="1"/>
    </row>
    <row r="3" customFormat="false" ht="18" hidden="false" customHeight="true" outlineLevel="0" collapsed="false">
      <c r="A3" s="2" t="s">
        <v>1</v>
      </c>
      <c r="B3" s="2"/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/>
      <c r="B6" s="4"/>
    </row>
    <row r="7" customFormat="false" ht="18" hidden="false" customHeight="true" outlineLevel="0" collapsed="false">
      <c r="A7" s="2" t="s">
        <v>6</v>
      </c>
      <c r="B7" s="2"/>
    </row>
    <row r="8" customFormat="false" ht="18" hidden="false" customHeight="true" outlineLevel="0" collapsed="false">
      <c r="A8" s="3" t="s">
        <v>7</v>
      </c>
      <c r="B8" s="4" t="s">
        <v>8</v>
      </c>
    </row>
    <row r="9" customFormat="false" ht="18" hidden="false" customHeight="true" outlineLevel="0" collapsed="false">
      <c r="A9" s="3" t="s">
        <v>9</v>
      </c>
      <c r="B9" s="4" t="s">
        <v>10</v>
      </c>
    </row>
    <row r="10" customFormat="false" ht="18" hidden="false" customHeight="true" outlineLevel="0" collapsed="false">
      <c r="A10" s="3" t="s">
        <v>11</v>
      </c>
      <c r="B10" s="4" t="s">
        <v>12</v>
      </c>
    </row>
    <row r="11" customFormat="false" ht="18" hidden="false" customHeight="true" outlineLevel="0" collapsed="false">
      <c r="A11" s="3" t="s">
        <v>13</v>
      </c>
      <c r="B11" s="4" t="s">
        <v>14</v>
      </c>
    </row>
    <row r="12" customFormat="false" ht="18" hidden="false" customHeight="true" outlineLevel="0" collapsed="false">
      <c r="A12" s="3"/>
      <c r="B12" s="4"/>
    </row>
    <row r="13" customFormat="false" ht="18" hidden="false" customHeight="true" outlineLevel="0" collapsed="false">
      <c r="A13" s="2" t="s">
        <v>15</v>
      </c>
      <c r="B13" s="2"/>
    </row>
    <row r="14" customFormat="false" ht="18" hidden="false" customHeight="true" outlineLevel="0" collapsed="false">
      <c r="A14" s="3" t="s">
        <v>16</v>
      </c>
      <c r="B14" s="4" t="s">
        <v>17</v>
      </c>
    </row>
    <row r="15" customFormat="false" ht="18" hidden="false" customHeight="true" outlineLevel="0" collapsed="false">
      <c r="A15" s="3" t="s">
        <v>18</v>
      </c>
      <c r="B15" s="4" t="s">
        <v>19</v>
      </c>
    </row>
    <row r="16" customFormat="false" ht="18" hidden="false" customHeight="true" outlineLevel="0" collapsed="false">
      <c r="A16" s="3" t="s">
        <v>20</v>
      </c>
      <c r="B16" s="4" t="s">
        <v>21</v>
      </c>
    </row>
    <row r="17" customFormat="false" ht="18" hidden="false" customHeight="true" outlineLevel="0" collapsed="false">
      <c r="A17" s="3" t="s">
        <v>22</v>
      </c>
      <c r="B17" s="4" t="s">
        <v>23</v>
      </c>
    </row>
    <row r="18" customFormat="false" ht="18" hidden="false" customHeight="true" outlineLevel="0" collapsed="false">
      <c r="A18" s="3"/>
      <c r="B18" s="4"/>
    </row>
    <row r="19" customFormat="false" ht="18" hidden="false" customHeight="true" outlineLevel="0" collapsed="false">
      <c r="A19" s="2" t="s">
        <v>24</v>
      </c>
      <c r="B19" s="2"/>
    </row>
    <row r="20" customFormat="false" ht="15" hidden="false" customHeight="false" outlineLevel="0" collapsed="false">
      <c r="A20" s="5" t="s">
        <v>25</v>
      </c>
      <c r="B20" s="5" t="s">
        <v>26</v>
      </c>
    </row>
    <row r="21" customFormat="false" ht="18" hidden="false" customHeight="true" outlineLevel="0" collapsed="false">
      <c r="A21" s="6" t="s">
        <v>261</v>
      </c>
      <c r="B21" s="4" t="s">
        <v>262</v>
      </c>
    </row>
    <row r="22" customFormat="false" ht="18" hidden="false" customHeight="true" outlineLevel="0" collapsed="false">
      <c r="A22" s="6" t="s">
        <v>263</v>
      </c>
      <c r="B22" s="4" t="s">
        <v>264</v>
      </c>
    </row>
    <row r="23" customFormat="false" ht="18" hidden="false" customHeight="true" outlineLevel="0" collapsed="false">
      <c r="A23" s="6" t="s">
        <v>265</v>
      </c>
      <c r="B23" s="4" t="s">
        <v>266</v>
      </c>
    </row>
    <row r="24" customFormat="false" ht="18" hidden="false" customHeight="true" outlineLevel="0" collapsed="false">
      <c r="A24" s="6" t="s">
        <v>267</v>
      </c>
      <c r="B24" s="4" t="s">
        <v>268</v>
      </c>
    </row>
    <row r="25" customFormat="false" ht="18" hidden="false" customHeight="true" outlineLevel="0" collapsed="false">
      <c r="A25" s="6" t="s">
        <v>27</v>
      </c>
      <c r="B25" s="4" t="s">
        <v>269</v>
      </c>
    </row>
    <row r="27" customFormat="false" ht="16.15" hidden="false" customHeight="false" outlineLevel="0" collapsed="false">
      <c r="A27" s="2" t="s">
        <v>37</v>
      </c>
      <c r="B27" s="2"/>
    </row>
    <row r="28" customFormat="false" ht="31.5" hidden="false" customHeight="true" outlineLevel="0" collapsed="false">
      <c r="A28" s="7" t="s">
        <v>38</v>
      </c>
      <c r="B28" s="4" t="s">
        <v>39</v>
      </c>
    </row>
    <row r="29" customFormat="false" ht="31.5" hidden="false" customHeight="true" outlineLevel="0" collapsed="false">
      <c r="A29" s="7" t="s">
        <v>40</v>
      </c>
      <c r="B29" s="4" t="s">
        <v>41</v>
      </c>
    </row>
    <row r="30" customFormat="false" ht="31.5" hidden="false" customHeight="true" outlineLevel="0" collapsed="false">
      <c r="A30" s="7" t="s">
        <v>42</v>
      </c>
      <c r="B30" s="4" t="s">
        <v>43</v>
      </c>
    </row>
    <row r="31" customFormat="false" ht="18" hidden="false" customHeight="true" outlineLevel="0" collapsed="false">
      <c r="A31" s="7" t="s">
        <v>44</v>
      </c>
      <c r="B31" s="4" t="s">
        <v>45</v>
      </c>
    </row>
    <row r="32" customFormat="false" ht="18" hidden="false" customHeight="true" outlineLevel="0" collapsed="false">
      <c r="A32" s="7" t="s">
        <v>46</v>
      </c>
      <c r="B32" s="4" t="s">
        <v>270</v>
      </c>
    </row>
    <row r="33" customFormat="false" ht="31.5" hidden="false" customHeight="true" outlineLevel="0" collapsed="false">
      <c r="A33" s="7" t="s">
        <v>48</v>
      </c>
      <c r="B33" s="4" t="s">
        <v>49</v>
      </c>
    </row>
    <row r="35" customFormat="false" ht="27.75" hidden="false" customHeight="true" outlineLevel="0" collapsed="false">
      <c r="A35" s="8" t="s">
        <v>271</v>
      </c>
      <c r="B35" s="8"/>
    </row>
  </sheetData>
  <mergeCells count="7">
    <mergeCell ref="A1:B1"/>
    <mergeCell ref="A3:B3"/>
    <mergeCell ref="A7:B7"/>
    <mergeCell ref="A13:B13"/>
    <mergeCell ref="A19:B19"/>
    <mergeCell ref="A27:B27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4"/>
  </cols>
  <sheetData>
    <row r="1" customFormat="false" ht="19.7" hidden="false" customHeight="false" outlineLevel="0" collapsed="false">
      <c r="A1" s="1" t="s">
        <v>272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53</v>
      </c>
      <c r="B3" s="5" t="s">
        <v>273</v>
      </c>
      <c r="C3" s="5" t="s">
        <v>274</v>
      </c>
      <c r="D3" s="5" t="s">
        <v>275</v>
      </c>
      <c r="E3" s="5" t="s">
        <v>276</v>
      </c>
      <c r="F3" s="5" t="s">
        <v>277</v>
      </c>
    </row>
    <row r="4" customFormat="false" ht="26.85" hidden="false" customHeight="false" outlineLevel="0" collapsed="false">
      <c r="B4" s="9" t="s">
        <v>278</v>
      </c>
      <c r="C4" s="9" t="s">
        <v>279</v>
      </c>
      <c r="D4" s="9" t="s">
        <v>280</v>
      </c>
      <c r="E4" s="9" t="s">
        <v>281</v>
      </c>
      <c r="F4" s="9" t="s">
        <v>282</v>
      </c>
    </row>
    <row r="5" customFormat="false" ht="15" hidden="false" customHeight="false" outlineLevel="0" collapsed="false">
      <c r="A5" s="0" t="s">
        <v>71</v>
      </c>
      <c r="B5" s="10" t="n">
        <v>106101</v>
      </c>
      <c r="C5" s="10" t="n">
        <v>88583</v>
      </c>
      <c r="D5" s="10" t="n">
        <v>7941</v>
      </c>
      <c r="E5" s="10" t="n">
        <v>353300</v>
      </c>
      <c r="F5" s="10" t="n">
        <v>273551</v>
      </c>
    </row>
    <row r="6" customFormat="false" ht="15" hidden="false" customHeight="false" outlineLevel="0" collapsed="false">
      <c r="A6" s="0" t="s">
        <v>72</v>
      </c>
      <c r="B6" s="10" t="n">
        <v>97108</v>
      </c>
      <c r="C6" s="10" t="n">
        <v>87401</v>
      </c>
      <c r="D6" s="10" t="n">
        <v>8806</v>
      </c>
      <c r="E6" s="10" t="n">
        <v>341800</v>
      </c>
      <c r="F6" s="10" t="n">
        <v>275103</v>
      </c>
    </row>
    <row r="7" customFormat="false" ht="15" hidden="false" customHeight="false" outlineLevel="0" collapsed="false">
      <c r="A7" s="0" t="s">
        <v>73</v>
      </c>
      <c r="B7" s="10" t="n">
        <v>101376</v>
      </c>
      <c r="C7" s="10" t="n">
        <v>90818</v>
      </c>
      <c r="D7" s="10" t="n">
        <v>8408</v>
      </c>
      <c r="E7" s="10" t="n">
        <v>326600</v>
      </c>
      <c r="F7" s="10" t="n">
        <v>277076</v>
      </c>
    </row>
    <row r="8" customFormat="false" ht="15" hidden="false" customHeight="false" outlineLevel="0" collapsed="false">
      <c r="A8" s="0" t="s">
        <v>74</v>
      </c>
      <c r="B8" s="10" t="n">
        <v>95606</v>
      </c>
      <c r="C8" s="10" t="n">
        <v>93164</v>
      </c>
      <c r="D8" s="10" t="n">
        <v>9090</v>
      </c>
      <c r="E8" s="10" t="n">
        <v>333300</v>
      </c>
      <c r="F8" s="10" t="n">
        <v>279029</v>
      </c>
    </row>
    <row r="9" customFormat="false" ht="15" hidden="false" customHeight="false" outlineLevel="0" collapsed="false">
      <c r="A9" s="0" t="s">
        <v>75</v>
      </c>
      <c r="B9" s="10" t="n">
        <v>112322</v>
      </c>
      <c r="C9" s="10" t="n">
        <v>94677</v>
      </c>
      <c r="D9" s="10" t="n">
        <v>8353</v>
      </c>
      <c r="E9" s="10" t="n">
        <v>322000</v>
      </c>
      <c r="F9" s="10" t="n">
        <v>283724</v>
      </c>
    </row>
    <row r="10" customFormat="false" ht="15" hidden="false" customHeight="false" outlineLevel="0" collapsed="false">
      <c r="A10" s="0" t="s">
        <v>76</v>
      </c>
      <c r="B10" s="10" t="n">
        <v>99956</v>
      </c>
      <c r="C10" s="10" t="n">
        <v>94300</v>
      </c>
      <c r="D10" s="10" t="n">
        <v>8130</v>
      </c>
      <c r="E10" s="10" t="n">
        <v>330300</v>
      </c>
      <c r="F10" s="10" t="n">
        <v>287603</v>
      </c>
    </row>
    <row r="11" customFormat="false" ht="15" hidden="false" customHeight="false" outlineLevel="0" collapsed="false">
      <c r="A11" s="0" t="s">
        <v>77</v>
      </c>
      <c r="B11" s="10" t="n">
        <v>103742</v>
      </c>
      <c r="C11" s="10" t="n">
        <v>95848</v>
      </c>
      <c r="D11" s="10" t="n">
        <v>7608</v>
      </c>
      <c r="E11" s="10" t="n">
        <v>324600</v>
      </c>
      <c r="F11" s="10" t="n">
        <v>289333</v>
      </c>
    </row>
    <row r="12" customFormat="false" ht="15" hidden="false" customHeight="false" outlineLevel="0" collapsed="false">
      <c r="A12" s="0" t="s">
        <v>78</v>
      </c>
      <c r="B12" s="10" t="n">
        <v>96971</v>
      </c>
      <c r="C12" s="10" t="n">
        <v>100049</v>
      </c>
      <c r="D12" s="10" t="n">
        <v>8185</v>
      </c>
      <c r="E12" s="10" t="n">
        <v>335500</v>
      </c>
      <c r="F12" s="10" t="n">
        <v>289882</v>
      </c>
    </row>
    <row r="13" customFormat="false" ht="15" hidden="false" customHeight="false" outlineLevel="0" collapsed="false">
      <c r="A13" s="0" t="s">
        <v>79</v>
      </c>
      <c r="B13" s="10" t="n">
        <v>111742</v>
      </c>
      <c r="C13" s="10" t="n">
        <v>102469</v>
      </c>
      <c r="D13" s="10" t="n">
        <v>7375</v>
      </c>
      <c r="E13" s="10" t="n">
        <v>330600</v>
      </c>
      <c r="F13" s="10" t="n">
        <v>293878</v>
      </c>
    </row>
    <row r="14" customFormat="false" ht="15" hidden="false" customHeight="false" outlineLevel="0" collapsed="false">
      <c r="A14" s="0" t="s">
        <v>80</v>
      </c>
      <c r="B14" s="10" t="n">
        <v>99718</v>
      </c>
      <c r="C14" s="10" t="n">
        <v>102328</v>
      </c>
      <c r="D14" s="10" t="n">
        <v>8018</v>
      </c>
      <c r="E14" s="10" t="n">
        <v>339100</v>
      </c>
      <c r="F14" s="10" t="n">
        <v>297001</v>
      </c>
    </row>
    <row r="15" customFormat="false" ht="15" hidden="false" customHeight="false" outlineLevel="0" collapsed="false">
      <c r="A15" s="0" t="s">
        <v>81</v>
      </c>
      <c r="B15" s="10" t="n">
        <v>105076</v>
      </c>
      <c r="C15" s="10" t="n">
        <v>104237</v>
      </c>
      <c r="D15" s="10" t="n">
        <v>6825</v>
      </c>
      <c r="E15" s="10" t="n">
        <v>343600</v>
      </c>
      <c r="F15" s="10" t="n">
        <v>299863</v>
      </c>
    </row>
    <row r="16" customFormat="false" ht="15" hidden="false" customHeight="false" outlineLevel="0" collapsed="false">
      <c r="A16" s="0" t="s">
        <v>82</v>
      </c>
      <c r="B16" s="10" t="n">
        <v>99790</v>
      </c>
      <c r="C16" s="10" t="n">
        <v>106936</v>
      </c>
      <c r="D16" s="10" t="n">
        <v>8443</v>
      </c>
      <c r="E16" s="10" t="n">
        <v>368700</v>
      </c>
      <c r="F16" s="10" t="n">
        <v>303904</v>
      </c>
    </row>
    <row r="17" customFormat="false" ht="15" hidden="false" customHeight="false" outlineLevel="0" collapsed="false">
      <c r="A17" s="0" t="s">
        <v>83</v>
      </c>
      <c r="B17" s="10" t="n">
        <v>113199</v>
      </c>
      <c r="C17" s="10" t="n">
        <v>112361</v>
      </c>
      <c r="D17" s="10" t="n">
        <v>7411</v>
      </c>
      <c r="E17" s="10" t="n">
        <v>369200</v>
      </c>
      <c r="F17" s="10" t="n">
        <v>307576</v>
      </c>
    </row>
    <row r="18" customFormat="false" ht="15" hidden="false" customHeight="false" outlineLevel="0" collapsed="false">
      <c r="A18" s="0" t="s">
        <v>84</v>
      </c>
      <c r="B18" s="10" t="n">
        <v>106726</v>
      </c>
      <c r="C18" s="10" t="n">
        <v>113608</v>
      </c>
      <c r="D18" s="10" t="n">
        <v>8376</v>
      </c>
      <c r="E18" s="10" t="n">
        <v>375500</v>
      </c>
      <c r="F18" s="10" t="n">
        <v>313623</v>
      </c>
    </row>
    <row r="19" customFormat="false" ht="15" hidden="false" customHeight="false" outlineLevel="0" collapsed="false">
      <c r="A19" s="0" t="s">
        <v>85</v>
      </c>
      <c r="B19" s="10" t="n">
        <v>110923</v>
      </c>
      <c r="C19" s="10" t="n">
        <v>115734</v>
      </c>
      <c r="D19" s="10" t="n">
        <v>7653</v>
      </c>
      <c r="E19" s="10" t="n">
        <v>383400</v>
      </c>
      <c r="F19" s="10" t="n">
        <v>318875</v>
      </c>
    </row>
    <row r="20" customFormat="false" ht="15" hidden="false" customHeight="false" outlineLevel="0" collapsed="false">
      <c r="A20" s="0" t="s">
        <v>86</v>
      </c>
      <c r="B20" s="10" t="n">
        <v>108465</v>
      </c>
      <c r="C20" s="10" t="n">
        <v>116439</v>
      </c>
      <c r="D20" s="10" t="n">
        <v>8867</v>
      </c>
      <c r="E20" s="10" t="n">
        <v>404600</v>
      </c>
      <c r="F20" s="10" t="n">
        <v>322428</v>
      </c>
    </row>
    <row r="21" customFormat="false" ht="15" hidden="false" customHeight="false" outlineLevel="0" collapsed="false">
      <c r="A21" s="0" t="s">
        <v>87</v>
      </c>
      <c r="B21" s="10" t="n">
        <v>124761</v>
      </c>
      <c r="C21" s="10" t="n">
        <v>120822</v>
      </c>
      <c r="D21" s="10" t="n">
        <v>7771</v>
      </c>
      <c r="E21" s="10" t="n">
        <v>404500</v>
      </c>
      <c r="F21" s="10" t="n">
        <v>324300</v>
      </c>
    </row>
    <row r="22" customFormat="false" ht="15" hidden="false" customHeight="false" outlineLevel="0" collapsed="false">
      <c r="A22" s="0" t="s">
        <v>88</v>
      </c>
      <c r="B22" s="10" t="n">
        <v>112132</v>
      </c>
      <c r="C22" s="10" t="n">
        <v>120895</v>
      </c>
      <c r="D22" s="10" t="n">
        <v>8743</v>
      </c>
      <c r="E22" s="10" t="n">
        <v>430200</v>
      </c>
      <c r="F22" s="10" t="n">
        <v>331067</v>
      </c>
    </row>
    <row r="23" customFormat="false" ht="15" hidden="false" customHeight="false" outlineLevel="0" collapsed="false">
      <c r="A23" s="0" t="s">
        <v>89</v>
      </c>
      <c r="B23" s="10" t="n">
        <v>119468</v>
      </c>
      <c r="C23" s="10" t="n">
        <v>125190</v>
      </c>
      <c r="D23" s="10" t="n">
        <v>8627</v>
      </c>
      <c r="E23" s="10" t="n">
        <v>438000</v>
      </c>
      <c r="F23" s="10" t="n">
        <v>332518</v>
      </c>
    </row>
    <row r="24" customFormat="false" ht="15" hidden="false" customHeight="false" outlineLevel="0" collapsed="false">
      <c r="A24" s="0" t="s">
        <v>90</v>
      </c>
      <c r="B24" s="10" t="n">
        <v>117490</v>
      </c>
      <c r="C24" s="10" t="n">
        <v>126638</v>
      </c>
      <c r="D24" s="10" t="n">
        <v>9820</v>
      </c>
      <c r="E24" s="10" t="n">
        <v>463800</v>
      </c>
      <c r="F24" s="10" t="n">
        <v>339258</v>
      </c>
    </row>
    <row r="25" customFormat="false" ht="15" hidden="false" customHeight="false" outlineLevel="0" collapsed="false">
      <c r="A25" s="0" t="s">
        <v>91</v>
      </c>
      <c r="B25" s="10" t="n">
        <v>134125</v>
      </c>
      <c r="C25" s="10" t="n">
        <v>132852</v>
      </c>
      <c r="D25" s="10" t="n">
        <v>9222</v>
      </c>
      <c r="E25" s="10" t="n">
        <v>460900</v>
      </c>
      <c r="F25" s="10" t="n">
        <v>341839</v>
      </c>
    </row>
    <row r="26" customFormat="false" ht="15" hidden="false" customHeight="false" outlineLevel="0" collapsed="false">
      <c r="A26" s="0" t="s">
        <v>92</v>
      </c>
      <c r="B26" s="10" t="n">
        <v>120296</v>
      </c>
      <c r="C26" s="10" t="n">
        <v>125944</v>
      </c>
      <c r="D26" s="10" t="n">
        <v>9822</v>
      </c>
      <c r="E26" s="10" t="n">
        <v>473300</v>
      </c>
      <c r="F26" s="10" t="n">
        <v>349602</v>
      </c>
    </row>
    <row r="27" customFormat="false" ht="15" hidden="false" customHeight="false" outlineLevel="0" collapsed="false">
      <c r="A27" s="0" t="s">
        <v>93</v>
      </c>
      <c r="B27" s="10" t="n">
        <v>129579</v>
      </c>
      <c r="C27" s="10" t="n">
        <v>132490</v>
      </c>
      <c r="D27" s="10" t="n">
        <v>9241</v>
      </c>
      <c r="E27" s="10" t="n">
        <v>483300</v>
      </c>
      <c r="F27" s="10" t="n">
        <v>353424</v>
      </c>
    </row>
    <row r="28" customFormat="false" ht="15" hidden="false" customHeight="false" outlineLevel="0" collapsed="false">
      <c r="A28" s="0" t="s">
        <v>94</v>
      </c>
      <c r="B28" s="10" t="n">
        <v>124953</v>
      </c>
      <c r="C28" s="10" t="n">
        <v>135184</v>
      </c>
      <c r="D28" s="10" t="n">
        <v>10499</v>
      </c>
      <c r="E28" s="10" t="n">
        <v>503500</v>
      </c>
      <c r="F28" s="10" t="n">
        <v>358384</v>
      </c>
    </row>
    <row r="29" customFormat="false" ht="15" hidden="false" customHeight="false" outlineLevel="0" collapsed="false">
      <c r="A29" s="0" t="s">
        <v>95</v>
      </c>
      <c r="B29" s="10" t="n">
        <v>144900</v>
      </c>
      <c r="C29" s="10" t="n">
        <v>139980</v>
      </c>
      <c r="D29" s="10" t="n">
        <v>9444</v>
      </c>
      <c r="E29" s="10" t="n">
        <v>499400</v>
      </c>
      <c r="F29" s="10" t="n">
        <v>362595</v>
      </c>
    </row>
    <row r="30" customFormat="false" ht="15" hidden="false" customHeight="false" outlineLevel="0" collapsed="false">
      <c r="A30" s="0" t="s">
        <v>96</v>
      </c>
      <c r="B30" s="10" t="n">
        <v>128312</v>
      </c>
      <c r="C30" s="10" t="n">
        <v>133238</v>
      </c>
      <c r="D30" s="10" t="n">
        <v>10203</v>
      </c>
      <c r="E30" s="10" t="n">
        <v>520000</v>
      </c>
      <c r="F30" s="10" t="n">
        <v>368522</v>
      </c>
    </row>
    <row r="31" customFormat="false" ht="15" hidden="false" customHeight="false" outlineLevel="0" collapsed="false">
      <c r="A31" s="0" t="s">
        <v>97</v>
      </c>
      <c r="B31" s="10" t="n">
        <v>136232</v>
      </c>
      <c r="C31" s="10" t="n">
        <v>139430</v>
      </c>
      <c r="D31" s="10" t="n">
        <v>9945</v>
      </c>
      <c r="E31" s="10" t="n">
        <v>524600</v>
      </c>
      <c r="F31" s="10" t="n">
        <v>372582</v>
      </c>
    </row>
    <row r="32" customFormat="false" ht="15" hidden="false" customHeight="false" outlineLevel="0" collapsed="false">
      <c r="A32" s="0" t="s">
        <v>98</v>
      </c>
      <c r="B32" s="10" t="n">
        <v>131759</v>
      </c>
      <c r="C32" s="10" t="n">
        <v>139105</v>
      </c>
      <c r="D32" s="10" t="n">
        <v>11505</v>
      </c>
      <c r="E32" s="10" t="n">
        <v>539000</v>
      </c>
      <c r="F32" s="10" t="n">
        <v>374381</v>
      </c>
    </row>
    <row r="33" customFormat="false" ht="15" hidden="false" customHeight="false" outlineLevel="0" collapsed="false">
      <c r="A33" s="0" t="s">
        <v>99</v>
      </c>
      <c r="B33" s="10" t="n">
        <v>155198</v>
      </c>
      <c r="C33" s="10" t="n">
        <v>147198</v>
      </c>
      <c r="D33" s="10" t="n">
        <v>10962</v>
      </c>
      <c r="E33" s="10" t="n">
        <v>535200</v>
      </c>
      <c r="F33" s="10" t="n">
        <v>378672</v>
      </c>
    </row>
    <row r="34" customFormat="false" ht="15" hidden="false" customHeight="false" outlineLevel="0" collapsed="false">
      <c r="A34" s="0" t="s">
        <v>100</v>
      </c>
      <c r="B34" s="10" t="n">
        <v>135241</v>
      </c>
      <c r="C34" s="10" t="n">
        <v>138819</v>
      </c>
      <c r="D34" s="10" t="n">
        <v>11652</v>
      </c>
      <c r="E34" s="10" t="n">
        <v>551200</v>
      </c>
      <c r="F34" s="10" t="n">
        <v>387949</v>
      </c>
    </row>
    <row r="35" customFormat="false" ht="15" hidden="false" customHeight="false" outlineLevel="0" collapsed="false">
      <c r="A35" s="0" t="s">
        <v>101</v>
      </c>
      <c r="B35" s="10" t="n">
        <v>144396</v>
      </c>
      <c r="C35" s="10" t="n">
        <v>146914</v>
      </c>
      <c r="D35" s="10" t="n">
        <v>10982</v>
      </c>
      <c r="E35" s="10" t="n">
        <v>553000</v>
      </c>
      <c r="F35" s="10" t="n">
        <v>390894</v>
      </c>
    </row>
    <row r="36" customFormat="false" ht="15" hidden="false" customHeight="false" outlineLevel="0" collapsed="false">
      <c r="A36" s="0" t="s">
        <v>102</v>
      </c>
      <c r="B36" s="10" t="n">
        <v>140980</v>
      </c>
      <c r="C36" s="10" t="n">
        <v>149885</v>
      </c>
      <c r="D36" s="10" t="n">
        <v>14427</v>
      </c>
      <c r="E36" s="10" t="n">
        <v>574700</v>
      </c>
      <c r="F36" s="10" t="n">
        <v>394214</v>
      </c>
    </row>
    <row r="37" customFormat="false" ht="15" hidden="false" customHeight="false" outlineLevel="0" collapsed="false">
      <c r="A37" s="0" t="s">
        <v>103</v>
      </c>
      <c r="B37" s="10" t="n">
        <v>166774</v>
      </c>
      <c r="C37" s="10" t="n">
        <v>161380</v>
      </c>
      <c r="D37" s="10" t="n">
        <v>12415</v>
      </c>
      <c r="E37" s="10" t="n">
        <v>567200</v>
      </c>
      <c r="F37" s="10" t="n">
        <v>399716</v>
      </c>
    </row>
    <row r="38" customFormat="false" ht="15" hidden="false" customHeight="false" outlineLevel="0" collapsed="false">
      <c r="A38" s="0" t="s">
        <v>104</v>
      </c>
      <c r="B38" s="10" t="n">
        <v>139719</v>
      </c>
      <c r="C38" s="10" t="n">
        <v>151089</v>
      </c>
      <c r="D38" s="10" t="n">
        <v>13965</v>
      </c>
      <c r="E38" s="10" t="n">
        <v>600100</v>
      </c>
      <c r="F38" s="10" t="n">
        <v>402687</v>
      </c>
    </row>
    <row r="39" customFormat="false" ht="15" hidden="false" customHeight="false" outlineLevel="0" collapsed="false">
      <c r="A39" s="0" t="s">
        <v>105</v>
      </c>
      <c r="B39" s="10" t="n">
        <v>146934</v>
      </c>
      <c r="C39" s="10" t="n">
        <v>162474</v>
      </c>
      <c r="D39" s="10" t="n">
        <v>13373</v>
      </c>
      <c r="E39" s="10" t="n">
        <v>681200</v>
      </c>
      <c r="F39" s="10" t="n">
        <v>402137</v>
      </c>
    </row>
    <row r="40" customFormat="false" ht="15" hidden="false" customHeight="false" outlineLevel="0" collapsed="false">
      <c r="A40" s="0" t="s">
        <v>106</v>
      </c>
      <c r="B40" s="10" t="n">
        <v>168497</v>
      </c>
      <c r="C40" s="10" t="n">
        <v>188062</v>
      </c>
      <c r="D40" s="10" t="n">
        <v>38880</v>
      </c>
      <c r="E40" s="10" t="n">
        <v>749900</v>
      </c>
      <c r="F40" s="10" t="n">
        <v>397677</v>
      </c>
    </row>
    <row r="41" customFormat="false" ht="15" hidden="false" customHeight="false" outlineLevel="0" collapsed="false">
      <c r="A41" s="0" t="s">
        <v>107</v>
      </c>
      <c r="B41" s="10" t="n">
        <v>169588</v>
      </c>
      <c r="C41" s="10" t="n">
        <v>186831</v>
      </c>
      <c r="D41" s="10" t="n">
        <v>23728</v>
      </c>
      <c r="E41" s="10" t="n">
        <v>787200</v>
      </c>
      <c r="F41" s="10" t="n">
        <v>389775</v>
      </c>
    </row>
    <row r="42" customFormat="false" ht="15" hidden="false" customHeight="false" outlineLevel="0" collapsed="false">
      <c r="A42" s="0" t="s">
        <v>108</v>
      </c>
      <c r="B42" s="10" t="n">
        <v>148534</v>
      </c>
      <c r="C42" s="10" t="n">
        <v>174504</v>
      </c>
      <c r="D42" s="10" t="n">
        <v>25354</v>
      </c>
      <c r="E42" s="10" t="n">
        <v>849700</v>
      </c>
      <c r="F42" s="10" t="n">
        <v>389151</v>
      </c>
    </row>
    <row r="43" customFormat="false" ht="15" hidden="false" customHeight="false" outlineLevel="0" collapsed="false">
      <c r="A43" s="0" t="s">
        <v>109</v>
      </c>
      <c r="B43" s="10" t="n">
        <v>153070</v>
      </c>
      <c r="C43" s="10" t="n">
        <v>175367</v>
      </c>
      <c r="D43" s="10" t="n">
        <v>17377</v>
      </c>
      <c r="E43" s="10" t="n">
        <v>877500</v>
      </c>
      <c r="F43" s="10" t="n">
        <v>391179</v>
      </c>
    </row>
    <row r="44" customFormat="false" ht="15" hidden="false" customHeight="false" outlineLevel="0" collapsed="false">
      <c r="A44" s="0" t="s">
        <v>110</v>
      </c>
      <c r="B44" s="10" t="n">
        <v>147703</v>
      </c>
      <c r="C44" s="10" t="n">
        <v>182703</v>
      </c>
      <c r="D44" s="10" t="n">
        <v>22144</v>
      </c>
      <c r="E44" s="10" t="n">
        <v>958600</v>
      </c>
      <c r="F44" s="10" t="n">
        <v>389300</v>
      </c>
    </row>
    <row r="45" customFormat="false" ht="15" hidden="false" customHeight="false" outlineLevel="0" collapsed="false">
      <c r="A45" s="0" t="s">
        <v>111</v>
      </c>
      <c r="B45" s="10" t="n">
        <v>172789</v>
      </c>
      <c r="C45" s="10" t="n">
        <v>190041</v>
      </c>
      <c r="D45" s="10" t="n">
        <v>21709</v>
      </c>
      <c r="E45" s="10" t="n">
        <v>1027900</v>
      </c>
      <c r="F45" s="10" t="n">
        <v>398126</v>
      </c>
    </row>
    <row r="46" customFormat="false" ht="15" hidden="false" customHeight="false" outlineLevel="0" collapsed="false">
      <c r="A46" s="0" t="s">
        <v>112</v>
      </c>
      <c r="B46" s="10" t="n">
        <v>156881</v>
      </c>
      <c r="C46" s="10" t="n">
        <v>177328</v>
      </c>
      <c r="D46" s="10" t="n">
        <v>24144</v>
      </c>
      <c r="E46" s="10" t="n">
        <v>1068100</v>
      </c>
      <c r="F46" s="10" t="n">
        <v>402937</v>
      </c>
    </row>
    <row r="47" customFormat="false" ht="15" hidden="false" customHeight="false" outlineLevel="0" collapsed="false">
      <c r="A47" s="0" t="s">
        <v>113</v>
      </c>
      <c r="B47" s="10" t="n">
        <v>160802</v>
      </c>
      <c r="C47" s="10" t="n">
        <v>182960</v>
      </c>
      <c r="D47" s="10" t="n">
        <v>21311</v>
      </c>
      <c r="E47" s="10" t="n">
        <v>1106900</v>
      </c>
      <c r="F47" s="10" t="n">
        <v>406177</v>
      </c>
    </row>
    <row r="48" customFormat="false" ht="15" hidden="false" customHeight="false" outlineLevel="0" collapsed="false">
      <c r="A48" s="0" t="s">
        <v>114</v>
      </c>
      <c r="B48" s="10" t="n">
        <v>153696</v>
      </c>
      <c r="C48" s="10" t="n">
        <v>185330</v>
      </c>
      <c r="D48" s="10" t="n">
        <v>24065</v>
      </c>
      <c r="E48" s="10" t="n">
        <v>1152500</v>
      </c>
      <c r="F48" s="10" t="n">
        <v>408599</v>
      </c>
    </row>
    <row r="49" customFormat="false" ht="15" hidden="false" customHeight="false" outlineLevel="0" collapsed="false">
      <c r="A49" s="0" t="s">
        <v>115</v>
      </c>
      <c r="B49" s="10" t="n">
        <v>185303</v>
      </c>
      <c r="C49" s="10" t="n">
        <v>191840</v>
      </c>
      <c r="D49" s="10" t="n">
        <v>23073</v>
      </c>
      <c r="E49" s="10" t="n">
        <v>1168700</v>
      </c>
      <c r="F49" s="10" t="n">
        <v>416521</v>
      </c>
    </row>
    <row r="50" customFormat="false" ht="15" hidden="false" customHeight="false" outlineLevel="0" collapsed="false">
      <c r="A50" s="0" t="s">
        <v>116</v>
      </c>
      <c r="B50" s="10" t="n">
        <v>164301</v>
      </c>
      <c r="C50" s="10" t="n">
        <v>178245</v>
      </c>
      <c r="D50" s="10" t="n">
        <v>25806</v>
      </c>
      <c r="E50" s="10" t="n">
        <v>1202900</v>
      </c>
      <c r="F50" s="10" t="n">
        <v>414040</v>
      </c>
    </row>
    <row r="51" customFormat="false" ht="15" hidden="false" customHeight="false" outlineLevel="0" collapsed="false">
      <c r="A51" s="0" t="s">
        <v>117</v>
      </c>
      <c r="B51" s="10" t="n">
        <v>169995</v>
      </c>
      <c r="C51" s="10" t="n">
        <v>182851</v>
      </c>
      <c r="D51" s="10" t="n">
        <v>22738</v>
      </c>
      <c r="E51" s="10" t="n">
        <v>1219100</v>
      </c>
      <c r="F51" s="10" t="n">
        <v>418119</v>
      </c>
    </row>
    <row r="52" customFormat="false" ht="15" hidden="false" customHeight="false" outlineLevel="0" collapsed="false">
      <c r="A52" s="0" t="s">
        <v>118</v>
      </c>
      <c r="B52" s="10" t="n">
        <v>162306</v>
      </c>
      <c r="C52" s="10" t="n">
        <v>184918</v>
      </c>
      <c r="D52" s="10" t="n">
        <v>25797</v>
      </c>
      <c r="E52" s="10" t="n">
        <v>1250600</v>
      </c>
      <c r="F52" s="10" t="n">
        <v>421265</v>
      </c>
    </row>
    <row r="53" customFormat="false" ht="15" hidden="false" customHeight="false" outlineLevel="0" collapsed="false">
      <c r="A53" s="0" t="s">
        <v>119</v>
      </c>
      <c r="B53" s="10" t="n">
        <v>184006</v>
      </c>
      <c r="C53" s="10" t="n">
        <v>193007</v>
      </c>
      <c r="D53" s="10" t="n">
        <v>21730</v>
      </c>
      <c r="E53" s="10" t="n">
        <v>1261100</v>
      </c>
      <c r="F53" s="10" t="n">
        <v>426653</v>
      </c>
    </row>
    <row r="54" customFormat="false" ht="15" hidden="false" customHeight="false" outlineLevel="0" collapsed="false">
      <c r="A54" s="0" t="s">
        <v>120</v>
      </c>
      <c r="B54" s="10" t="n">
        <v>163695</v>
      </c>
      <c r="C54" s="10" t="n">
        <v>191934</v>
      </c>
      <c r="D54" s="10" t="n">
        <v>25693</v>
      </c>
      <c r="E54" s="10" t="n">
        <v>1290100</v>
      </c>
      <c r="F54" s="10" t="n">
        <v>426698</v>
      </c>
    </row>
    <row r="55" customFormat="false" ht="15" hidden="false" customHeight="false" outlineLevel="0" collapsed="false">
      <c r="A55" s="0" t="s">
        <v>121</v>
      </c>
      <c r="B55" s="10" t="n">
        <v>171789</v>
      </c>
      <c r="C55" s="10" t="n">
        <v>182412</v>
      </c>
      <c r="D55" s="10" t="n">
        <v>20391</v>
      </c>
      <c r="E55" s="10" t="n">
        <v>1308900</v>
      </c>
      <c r="F55" s="10" t="n">
        <v>433287</v>
      </c>
    </row>
    <row r="56" customFormat="false" ht="15" hidden="false" customHeight="false" outlineLevel="0" collapsed="false">
      <c r="A56" s="0" t="s">
        <v>122</v>
      </c>
      <c r="B56" s="10" t="n">
        <v>164675</v>
      </c>
      <c r="C56" s="10" t="n">
        <v>187821</v>
      </c>
      <c r="D56" s="10" t="n">
        <v>24517</v>
      </c>
      <c r="E56" s="10" t="n">
        <v>1354300</v>
      </c>
      <c r="F56" s="10" t="n">
        <v>435070</v>
      </c>
    </row>
    <row r="57" customFormat="false" ht="15" hidden="false" customHeight="false" outlineLevel="0" collapsed="false">
      <c r="A57" s="0" t="s">
        <v>123</v>
      </c>
      <c r="B57" s="10" t="n">
        <v>184883</v>
      </c>
      <c r="C57" s="10" t="n">
        <v>188413</v>
      </c>
      <c r="D57" s="10" t="n">
        <v>20919</v>
      </c>
      <c r="E57" s="10" t="n">
        <v>1366200</v>
      </c>
      <c r="F57" s="10" t="n">
        <v>440038</v>
      </c>
    </row>
    <row r="58" customFormat="false" ht="15" hidden="false" customHeight="false" outlineLevel="0" collapsed="false">
      <c r="A58" s="0" t="s">
        <v>124</v>
      </c>
      <c r="B58" s="10" t="n">
        <v>169551</v>
      </c>
      <c r="C58" s="10" t="n">
        <v>184528</v>
      </c>
      <c r="D58" s="10" t="n">
        <v>24474</v>
      </c>
      <c r="E58" s="10" t="n">
        <v>1397700</v>
      </c>
      <c r="F58" s="10" t="n">
        <v>443626</v>
      </c>
    </row>
    <row r="59" customFormat="false" ht="15" hidden="false" customHeight="false" outlineLevel="0" collapsed="false">
      <c r="A59" s="0" t="s">
        <v>125</v>
      </c>
      <c r="B59" s="10" t="n">
        <v>174097</v>
      </c>
      <c r="C59" s="10" t="n">
        <v>183949</v>
      </c>
      <c r="D59" s="10" t="n">
        <v>19448</v>
      </c>
      <c r="E59" s="10" t="n">
        <v>1415400</v>
      </c>
      <c r="F59" s="10" t="n">
        <v>450725</v>
      </c>
    </row>
    <row r="60" customFormat="false" ht="15" hidden="false" customHeight="false" outlineLevel="0" collapsed="false">
      <c r="A60" s="0" t="s">
        <v>126</v>
      </c>
      <c r="B60" s="10" t="n">
        <v>168838</v>
      </c>
      <c r="C60" s="10" t="n">
        <v>188148</v>
      </c>
      <c r="D60" s="10" t="n">
        <v>22701</v>
      </c>
      <c r="E60" s="10" t="n">
        <v>1452600</v>
      </c>
      <c r="F60" s="10" t="n">
        <v>454683</v>
      </c>
    </row>
    <row r="61" customFormat="false" ht="15" hidden="false" customHeight="false" outlineLevel="0" collapsed="false">
      <c r="A61" s="0" t="s">
        <v>127</v>
      </c>
      <c r="B61" s="10" t="n">
        <v>188592</v>
      </c>
      <c r="C61" s="10" t="n">
        <v>190761</v>
      </c>
      <c r="D61" s="10" t="n">
        <v>17609</v>
      </c>
      <c r="E61" s="10" t="n">
        <v>1461100</v>
      </c>
      <c r="F61" s="10" t="n">
        <v>460682</v>
      </c>
    </row>
    <row r="62" customFormat="false" ht="15" hidden="false" customHeight="false" outlineLevel="0" collapsed="false">
      <c r="A62" s="0" t="s">
        <v>128</v>
      </c>
      <c r="B62" s="10" t="n">
        <v>168730</v>
      </c>
      <c r="C62" s="10" t="n">
        <v>185463</v>
      </c>
      <c r="D62" s="10" t="n">
        <v>21146</v>
      </c>
      <c r="E62" s="10" t="n">
        <v>1497900</v>
      </c>
      <c r="F62" s="10" t="n">
        <v>464667</v>
      </c>
    </row>
    <row r="63" customFormat="false" ht="15" hidden="false" customHeight="false" outlineLevel="0" collapsed="false">
      <c r="A63" s="0" t="s">
        <v>129</v>
      </c>
      <c r="B63" s="10" t="n">
        <v>175793</v>
      </c>
      <c r="C63" s="10" t="n">
        <v>186652</v>
      </c>
      <c r="D63" s="10" t="n">
        <v>15887</v>
      </c>
      <c r="E63" s="10" t="n">
        <v>1513900</v>
      </c>
      <c r="F63" s="10" t="n">
        <v>474115</v>
      </c>
    </row>
    <row r="64" customFormat="false" ht="15" hidden="false" customHeight="false" outlineLevel="0" collapsed="false">
      <c r="A64" s="0" t="s">
        <v>130</v>
      </c>
      <c r="B64" s="10" t="n">
        <v>172128</v>
      </c>
      <c r="C64" s="10" t="n">
        <v>190367</v>
      </c>
      <c r="D64" s="10" t="n">
        <v>17835</v>
      </c>
      <c r="E64" s="10" t="n">
        <v>1550800</v>
      </c>
      <c r="F64" s="10" t="n">
        <v>475602</v>
      </c>
    </row>
    <row r="65" customFormat="false" ht="15" hidden="false" customHeight="false" outlineLevel="0" collapsed="false">
      <c r="A65" s="0" t="s">
        <v>131</v>
      </c>
      <c r="B65" s="10" t="n">
        <v>195428</v>
      </c>
      <c r="C65" s="10" t="n">
        <v>191054</v>
      </c>
      <c r="D65" s="10" t="n">
        <v>12709</v>
      </c>
      <c r="E65" s="10" t="n">
        <v>1551900</v>
      </c>
      <c r="F65" s="10" t="n">
        <v>478016</v>
      </c>
    </row>
    <row r="66" customFormat="false" ht="15" hidden="false" customHeight="false" outlineLevel="0" collapsed="false">
      <c r="A66" s="0" t="s">
        <v>132</v>
      </c>
      <c r="B66" s="10" t="n">
        <v>173839</v>
      </c>
      <c r="C66" s="10" t="n">
        <v>187082</v>
      </c>
      <c r="D66" s="10" t="n">
        <v>18725</v>
      </c>
      <c r="E66" s="10" t="n">
        <v>1577900</v>
      </c>
      <c r="F66" s="10" t="n">
        <v>479382</v>
      </c>
    </row>
    <row r="67" customFormat="false" ht="15" hidden="false" customHeight="false" outlineLevel="0" collapsed="false">
      <c r="A67" s="0" t="s">
        <v>133</v>
      </c>
      <c r="B67" s="10" t="n">
        <v>180785</v>
      </c>
      <c r="C67" s="10" t="n">
        <v>189070</v>
      </c>
      <c r="D67" s="10" t="n">
        <v>16047</v>
      </c>
      <c r="E67" s="10" t="n">
        <v>1583500</v>
      </c>
      <c r="F67" s="10" t="n">
        <v>482690</v>
      </c>
    </row>
    <row r="68" customFormat="false" ht="15" hidden="false" customHeight="false" outlineLevel="0" collapsed="false">
      <c r="A68" s="0" t="s">
        <v>134</v>
      </c>
      <c r="B68" s="10" t="n">
        <v>174942</v>
      </c>
      <c r="C68" s="10" t="n">
        <v>188183</v>
      </c>
      <c r="D68" s="10" t="n">
        <v>17164</v>
      </c>
      <c r="E68" s="10" t="n">
        <v>1602900</v>
      </c>
      <c r="F68" s="10" t="n">
        <v>487928</v>
      </c>
    </row>
    <row r="69" customFormat="false" ht="15" hidden="false" customHeight="false" outlineLevel="0" collapsed="false">
      <c r="A69" s="0" t="s">
        <v>135</v>
      </c>
      <c r="B69" s="10" t="n">
        <v>203924</v>
      </c>
      <c r="C69" s="10" t="n">
        <v>194041</v>
      </c>
      <c r="D69" s="10" t="n">
        <v>15008</v>
      </c>
      <c r="E69" s="10" t="n">
        <v>1595000</v>
      </c>
      <c r="F69" s="10" t="n">
        <v>492644</v>
      </c>
    </row>
    <row r="70" customFormat="false" ht="15" hidden="false" customHeight="false" outlineLevel="0" collapsed="false">
      <c r="A70" s="0" t="s">
        <v>136</v>
      </c>
      <c r="B70" s="10" t="n">
        <v>181122</v>
      </c>
      <c r="C70" s="10" t="n">
        <v>190863</v>
      </c>
      <c r="D70" s="10" t="n">
        <v>18892</v>
      </c>
      <c r="E70" s="10" t="n">
        <v>1620000</v>
      </c>
      <c r="F70" s="10" t="n">
        <v>497056</v>
      </c>
    </row>
    <row r="71" customFormat="false" ht="15" hidden="false" customHeight="false" outlineLevel="0" collapsed="false">
      <c r="A71" s="0" t="s">
        <v>137</v>
      </c>
      <c r="B71" s="10" t="n">
        <v>190795</v>
      </c>
      <c r="C71" s="10" t="n">
        <v>195310</v>
      </c>
      <c r="D71" s="10" t="n">
        <v>17387</v>
      </c>
      <c r="E71" s="10" t="n">
        <v>1628700</v>
      </c>
      <c r="F71" s="10" t="n">
        <v>504373</v>
      </c>
    </row>
    <row r="72" customFormat="false" ht="15" hidden="false" customHeight="false" outlineLevel="0" collapsed="false">
      <c r="A72" s="0" t="s">
        <v>138</v>
      </c>
      <c r="B72" s="10" t="n">
        <v>184943</v>
      </c>
      <c r="C72" s="10" t="n">
        <v>190707</v>
      </c>
      <c r="D72" s="10" t="n">
        <v>17126</v>
      </c>
      <c r="E72" s="10" t="n">
        <v>1690600</v>
      </c>
      <c r="F72" s="10" t="n">
        <v>510682</v>
      </c>
    </row>
    <row r="73" customFormat="false" ht="15" hidden="false" customHeight="false" outlineLevel="0" collapsed="false">
      <c r="A73" s="0" t="s">
        <v>139</v>
      </c>
      <c r="B73" s="10" t="n">
        <v>221243</v>
      </c>
      <c r="C73" s="10" t="n">
        <v>197524</v>
      </c>
      <c r="D73" s="10" t="n">
        <v>15433</v>
      </c>
      <c r="E73" s="10" t="n">
        <v>1714500</v>
      </c>
      <c r="F73" s="10" t="n">
        <v>517306</v>
      </c>
    </row>
    <row r="74" customFormat="false" ht="15" hidden="false" customHeight="false" outlineLevel="0" collapsed="false">
      <c r="A74" s="0" t="s">
        <v>140</v>
      </c>
      <c r="B74" s="10" t="n">
        <v>191875</v>
      </c>
      <c r="C74" s="10" t="n">
        <v>200454</v>
      </c>
      <c r="D74" s="10" t="n">
        <v>21227</v>
      </c>
      <c r="E74" s="10" t="n">
        <v>1750100</v>
      </c>
      <c r="F74" s="10" t="n">
        <v>521616</v>
      </c>
    </row>
    <row r="75" customFormat="false" ht="15" hidden="false" customHeight="false" outlineLevel="0" collapsed="false">
      <c r="A75" s="0" t="s">
        <v>141</v>
      </c>
      <c r="B75" s="10" t="n">
        <v>198612</v>
      </c>
      <c r="C75" s="10" t="n">
        <v>198847</v>
      </c>
      <c r="D75" s="10" t="n">
        <v>17571</v>
      </c>
      <c r="E75" s="10" t="n">
        <v>1773500</v>
      </c>
      <c r="F75" s="10" t="n">
        <v>525161</v>
      </c>
    </row>
    <row r="76" customFormat="false" ht="15" hidden="false" customHeight="false" outlineLevel="0" collapsed="false">
      <c r="A76" s="0" t="s">
        <v>142</v>
      </c>
      <c r="B76" s="10" t="n">
        <v>194097</v>
      </c>
      <c r="C76" s="10" t="n">
        <v>197785</v>
      </c>
      <c r="D76" s="10" t="n">
        <v>18854</v>
      </c>
      <c r="E76" s="10" t="n">
        <v>1744600</v>
      </c>
      <c r="F76" s="10" t="n">
        <v>533139</v>
      </c>
    </row>
    <row r="77" customFormat="false" ht="15" hidden="false" customHeight="false" outlineLevel="0" collapsed="false">
      <c r="A77" s="0" t="s">
        <v>143</v>
      </c>
      <c r="B77" s="10" t="n">
        <v>219476</v>
      </c>
      <c r="C77" s="10" t="n">
        <v>203338</v>
      </c>
      <c r="D77" s="10" t="n">
        <v>15567</v>
      </c>
      <c r="E77" s="10" t="n">
        <v>1757800</v>
      </c>
      <c r="F77" s="10" t="n">
        <v>535163</v>
      </c>
    </row>
    <row r="78" customFormat="false" ht="15" hidden="false" customHeight="false" outlineLevel="0" collapsed="false">
      <c r="A78" s="0" t="s">
        <v>144</v>
      </c>
      <c r="B78" s="10" t="n">
        <v>195710</v>
      </c>
      <c r="C78" s="10" t="n">
        <v>199683</v>
      </c>
      <c r="D78" s="10" t="n">
        <v>19417</v>
      </c>
      <c r="E78" s="10" t="n">
        <v>1779900</v>
      </c>
      <c r="F78" s="10" t="n">
        <v>540719</v>
      </c>
    </row>
    <row r="79" customFormat="false" ht="15" hidden="false" customHeight="false" outlineLevel="0" collapsed="false">
      <c r="A79" s="0" t="s">
        <v>145</v>
      </c>
      <c r="B79" s="10" t="n">
        <v>205591</v>
      </c>
      <c r="C79" s="10" t="n">
        <v>203608</v>
      </c>
      <c r="D79" s="10" t="n">
        <v>17448</v>
      </c>
      <c r="E79" s="10" t="n">
        <v>1775700</v>
      </c>
      <c r="F79" s="10" t="n">
        <v>545160</v>
      </c>
    </row>
    <row r="80" customFormat="false" ht="15" hidden="false" customHeight="false" outlineLevel="0" collapsed="false">
      <c r="A80" s="0" t="s">
        <v>146</v>
      </c>
      <c r="B80" s="10" t="n">
        <v>200171</v>
      </c>
      <c r="C80" s="10" t="n">
        <v>205212</v>
      </c>
      <c r="D80" s="10" t="n">
        <v>19298</v>
      </c>
      <c r="E80" s="10" t="n">
        <v>1798600</v>
      </c>
      <c r="F80" s="10" t="n">
        <v>550517</v>
      </c>
    </row>
    <row r="81" customFormat="false" ht="15" hidden="false" customHeight="false" outlineLevel="0" collapsed="false">
      <c r="A81" s="0" t="s">
        <v>147</v>
      </c>
      <c r="B81" s="10" t="n">
        <v>233241</v>
      </c>
      <c r="C81" s="10" t="n">
        <v>209825</v>
      </c>
      <c r="D81" s="10" t="n">
        <v>13048</v>
      </c>
      <c r="E81" s="10" t="n">
        <v>1776000</v>
      </c>
      <c r="F81" s="10" t="n">
        <v>553984</v>
      </c>
    </row>
    <row r="82" customFormat="false" ht="15" hidden="false" customHeight="false" outlineLevel="0" collapsed="false">
      <c r="A82" s="0" t="s">
        <v>148</v>
      </c>
      <c r="B82" s="10" t="n">
        <v>200264</v>
      </c>
      <c r="C82" s="10" t="n">
        <v>208406</v>
      </c>
      <c r="D82" s="10" t="n">
        <v>21609</v>
      </c>
      <c r="E82" s="10" t="n">
        <v>1808700</v>
      </c>
      <c r="F82" s="10" t="n">
        <v>560995</v>
      </c>
    </row>
    <row r="83" customFormat="false" ht="15" hidden="false" customHeight="false" outlineLevel="0" collapsed="false">
      <c r="A83" s="0" t="s">
        <v>149</v>
      </c>
      <c r="B83" s="10" t="n">
        <v>211136</v>
      </c>
      <c r="C83" s="10" t="n">
        <v>209119</v>
      </c>
      <c r="D83" s="10" t="n">
        <v>15280</v>
      </c>
      <c r="E83" s="10" t="n">
        <v>1808000</v>
      </c>
      <c r="F83" s="10" t="n">
        <v>567451</v>
      </c>
    </row>
    <row r="84" customFormat="false" ht="15" hidden="false" customHeight="false" outlineLevel="0" collapsed="false">
      <c r="A84" s="0" t="s">
        <v>150</v>
      </c>
      <c r="B84" s="10" t="n">
        <v>201244</v>
      </c>
      <c r="C84" s="10" t="n">
        <v>208375</v>
      </c>
      <c r="D84" s="10" t="n">
        <v>16167</v>
      </c>
      <c r="E84" s="10" t="n">
        <v>1837500</v>
      </c>
      <c r="F84" s="10" t="n">
        <v>570531</v>
      </c>
    </row>
    <row r="85" customFormat="false" ht="15" hidden="false" customHeight="false" outlineLevel="0" collapsed="false">
      <c r="A85" s="0" t="s">
        <v>151</v>
      </c>
      <c r="B85" s="10" t="n">
        <v>233890</v>
      </c>
      <c r="C85" s="10" t="n">
        <v>218511</v>
      </c>
      <c r="D85" s="10" t="n">
        <v>13881</v>
      </c>
      <c r="E85" s="10" t="n">
        <v>1815800</v>
      </c>
      <c r="F85" s="10" t="n">
        <v>559365</v>
      </c>
    </row>
    <row r="86" customFormat="false" ht="15" hidden="false" customHeight="false" outlineLevel="0" collapsed="false">
      <c r="A86" s="0" t="s">
        <v>152</v>
      </c>
      <c r="B86" s="10" t="n">
        <v>174040</v>
      </c>
      <c r="C86" s="10" t="n">
        <v>290360</v>
      </c>
      <c r="D86" s="10" t="n">
        <v>15086</v>
      </c>
      <c r="E86" s="10" t="n">
        <v>2024400</v>
      </c>
      <c r="F86" s="10" t="n">
        <v>481227</v>
      </c>
    </row>
    <row r="87" customFormat="false" ht="15" hidden="false" customHeight="false" outlineLevel="0" collapsed="false">
      <c r="A87" s="0" t="s">
        <v>153</v>
      </c>
      <c r="B87" s="10" t="n">
        <v>195662</v>
      </c>
      <c r="C87" s="10" t="n">
        <v>253616</v>
      </c>
      <c r="D87" s="10" t="n">
        <v>13916</v>
      </c>
      <c r="E87" s="10" t="n">
        <v>2069000</v>
      </c>
      <c r="F87" s="10" t="n">
        <v>540319</v>
      </c>
    </row>
    <row r="88" customFormat="false" ht="15" hidden="false" customHeight="false" outlineLevel="0" collapsed="false">
      <c r="A88" s="0" t="s">
        <v>154</v>
      </c>
      <c r="B88" s="10" t="n">
        <v>203676</v>
      </c>
      <c r="C88" s="10" t="n">
        <v>250989</v>
      </c>
      <c r="D88" s="10" t="n">
        <v>11892</v>
      </c>
      <c r="E88" s="10" t="n">
        <v>2152500</v>
      </c>
      <c r="F88" s="10" t="n">
        <v>543809</v>
      </c>
    </row>
    <row r="89" customFormat="false" ht="15" hidden="false" customHeight="false" outlineLevel="0" collapsed="false">
      <c r="A89" s="0" t="s">
        <v>155</v>
      </c>
      <c r="B89" s="10" t="n">
        <v>239942</v>
      </c>
      <c r="C89" s="10" t="n">
        <v>265488</v>
      </c>
      <c r="D89" s="10" t="n">
        <v>12295</v>
      </c>
      <c r="E89" s="10" t="n">
        <v>2155100</v>
      </c>
      <c r="F89" s="10" t="n">
        <v>545116</v>
      </c>
    </row>
    <row r="90" customFormat="false" ht="15" hidden="false" customHeight="false" outlineLevel="0" collapsed="false">
      <c r="A90" s="0" t="s">
        <v>156</v>
      </c>
      <c r="B90" s="10" t="n">
        <v>209864</v>
      </c>
      <c r="C90" s="10" t="n">
        <v>253226</v>
      </c>
      <c r="D90" s="10" t="n">
        <v>21448</v>
      </c>
      <c r="E90" s="10" t="n">
        <v>2225400</v>
      </c>
      <c r="F90" s="10" t="n">
        <v>576525</v>
      </c>
    </row>
    <row r="91" customFormat="false" ht="15" hidden="false" customHeight="false" outlineLevel="0" collapsed="false">
      <c r="A91" s="0" t="s">
        <v>157</v>
      </c>
      <c r="B91" s="10" t="n">
        <v>226382</v>
      </c>
      <c r="C91" s="10" t="n">
        <v>245635</v>
      </c>
      <c r="D91" s="10" t="n">
        <v>18420</v>
      </c>
      <c r="E91" s="10" t="n">
        <v>2236600</v>
      </c>
      <c r="F91" s="10" t="n">
        <v>592707</v>
      </c>
    </row>
    <row r="92" customFormat="false" ht="15" hidden="false" customHeight="false" outlineLevel="0" collapsed="false">
      <c r="A92" s="0" t="s">
        <v>158</v>
      </c>
      <c r="B92" s="10" t="n">
        <v>231558</v>
      </c>
      <c r="C92" s="10" t="n">
        <v>240691</v>
      </c>
      <c r="D92" s="10" t="n">
        <v>22562</v>
      </c>
      <c r="E92" s="10" t="n">
        <v>2364700</v>
      </c>
      <c r="F92" s="10" t="n">
        <v>608304</v>
      </c>
    </row>
    <row r="93" customFormat="false" ht="15" hidden="false" customHeight="false" outlineLevel="0" collapsed="false">
      <c r="A93" s="0" t="s">
        <v>159</v>
      </c>
      <c r="B93" s="10" t="n">
        <v>275087</v>
      </c>
      <c r="C93" s="10" t="n">
        <v>258644</v>
      </c>
      <c r="D93" s="10" t="n">
        <v>22756</v>
      </c>
      <c r="E93" s="10" t="n">
        <v>2380800</v>
      </c>
      <c r="F93" s="10" t="n">
        <v>623014</v>
      </c>
    </row>
    <row r="94" customFormat="false" ht="15" hidden="false" customHeight="false" outlineLevel="0" collapsed="false">
      <c r="A94" s="0" t="s">
        <v>160</v>
      </c>
      <c r="B94" s="10" t="n">
        <v>239908</v>
      </c>
      <c r="C94" s="10" t="n">
        <v>264045</v>
      </c>
      <c r="D94" s="10" t="n">
        <v>41185</v>
      </c>
      <c r="E94" s="10" t="n">
        <v>2425900</v>
      </c>
      <c r="F94" s="10" t="n">
        <v>639293</v>
      </c>
    </row>
    <row r="95" customFormat="false" ht="15" hidden="false" customHeight="false" outlineLevel="0" collapsed="false">
      <c r="A95" s="0" t="s">
        <v>161</v>
      </c>
      <c r="B95" s="10" t="n">
        <v>259573</v>
      </c>
      <c r="C95" s="10" t="n">
        <v>266057</v>
      </c>
      <c r="D95" s="10" t="n">
        <v>32093</v>
      </c>
      <c r="E95" s="10" t="n">
        <v>2443800</v>
      </c>
      <c r="F95" s="10" t="n">
        <v>650233</v>
      </c>
    </row>
    <row r="96" customFormat="false" ht="15" hidden="false" customHeight="false" outlineLevel="0" collapsed="false">
      <c r="A96" s="0" t="s">
        <v>162</v>
      </c>
      <c r="B96" s="10" t="n">
        <v>258335</v>
      </c>
      <c r="C96" s="10" t="n">
        <v>282334</v>
      </c>
      <c r="D96" s="10" t="n">
        <v>43583</v>
      </c>
      <c r="E96" s="10" t="n">
        <v>2501300</v>
      </c>
      <c r="F96" s="10" t="n">
        <v>668409</v>
      </c>
    </row>
    <row r="97" customFormat="false" ht="15" hidden="false" customHeight="false" outlineLevel="0" collapsed="false">
      <c r="A97" s="0" t="s">
        <v>163</v>
      </c>
      <c r="B97" s="10" t="n">
        <v>306222</v>
      </c>
      <c r="C97" s="10" t="n">
        <v>307321</v>
      </c>
      <c r="D97" s="10" t="n">
        <v>33326</v>
      </c>
      <c r="E97" s="10" t="n">
        <v>2545500</v>
      </c>
      <c r="F97" s="10" t="n">
        <v>679194</v>
      </c>
    </row>
    <row r="98" customFormat="false" ht="15" hidden="false" customHeight="false" outlineLevel="0" collapsed="false">
      <c r="A98" s="0" t="s">
        <v>164</v>
      </c>
      <c r="B98" s="10" t="n">
        <v>262912</v>
      </c>
      <c r="C98" s="10" t="n">
        <v>298725</v>
      </c>
      <c r="D98" s="10" t="n">
        <v>48265</v>
      </c>
      <c r="E98" s="10" t="n">
        <v>2610400</v>
      </c>
      <c r="F98" s="10" t="n">
        <v>689618</v>
      </c>
    </row>
    <row r="99" customFormat="false" ht="15" hidden="false" customHeight="false" outlineLevel="0" collapsed="false">
      <c r="A99" s="0" t="s">
        <v>165</v>
      </c>
      <c r="B99" s="10" t="n">
        <v>276977</v>
      </c>
      <c r="C99" s="10" t="n">
        <v>287447</v>
      </c>
      <c r="D99" s="10" t="n">
        <v>33302</v>
      </c>
      <c r="E99" s="10" t="n">
        <v>2609700</v>
      </c>
      <c r="F99" s="10" t="n">
        <v>692982</v>
      </c>
    </row>
    <row r="100" customFormat="false" ht="15" hidden="false" customHeight="false" outlineLevel="0" collapsed="false">
      <c r="A100" s="0" t="s">
        <v>166</v>
      </c>
      <c r="B100" s="10" t="n">
        <v>274005</v>
      </c>
      <c r="C100" s="10" t="n">
        <v>294124</v>
      </c>
      <c r="D100" s="10" t="n">
        <v>38616</v>
      </c>
      <c r="E100" s="10" t="n">
        <v>2695700</v>
      </c>
      <c r="F100" s="10" t="n">
        <v>690370</v>
      </c>
    </row>
    <row r="101" customFormat="false" ht="15" hidden="false" customHeight="false" outlineLevel="0" collapsed="false">
      <c r="A101" s="0" t="s">
        <v>167</v>
      </c>
      <c r="B101" s="10" t="n">
        <v>319070</v>
      </c>
      <c r="C101" s="10" t="n">
        <v>310824</v>
      </c>
      <c r="D101" s="10" t="n">
        <v>32729</v>
      </c>
      <c r="E101" s="10" t="n">
        <v>2685600</v>
      </c>
      <c r="F101" s="10" t="n">
        <v>705573</v>
      </c>
    </row>
    <row r="102" customFormat="false" ht="15" hidden="false" customHeight="false" outlineLevel="0" collapsed="false">
      <c r="A102" s="0" t="s">
        <v>168</v>
      </c>
      <c r="B102" s="10" t="n">
        <v>267063</v>
      </c>
      <c r="C102" s="10" t="n">
        <v>300023</v>
      </c>
      <c r="D102" s="10" t="n">
        <v>41284</v>
      </c>
      <c r="E102" s="10" t="n">
        <v>2730900</v>
      </c>
      <c r="F102" s="10" t="n">
        <v>717865</v>
      </c>
    </row>
    <row r="103" customFormat="false" ht="15" hidden="false" customHeight="false" outlineLevel="0" collapsed="false">
      <c r="A103" s="0" t="s">
        <v>169</v>
      </c>
      <c r="B103" s="10" t="n">
        <v>275787</v>
      </c>
      <c r="C103" s="10" t="n">
        <v>296104</v>
      </c>
      <c r="D103" s="10" t="n">
        <v>29834</v>
      </c>
      <c r="E103" s="10" t="n">
        <v>2757800</v>
      </c>
      <c r="F103" s="10" t="n">
        <v>729877</v>
      </c>
    </row>
    <row r="104" customFormat="false" ht="15" hidden="false" customHeight="false" outlineLevel="0" collapsed="false">
      <c r="A104" s="0" t="s">
        <v>170</v>
      </c>
      <c r="B104" s="10" t="n">
        <v>273783</v>
      </c>
      <c r="C104" s="10" t="n">
        <v>307809</v>
      </c>
      <c r="D104" s="10" t="n">
        <v>31663</v>
      </c>
      <c r="E104" s="10" t="n">
        <v>2815400</v>
      </c>
      <c r="F104" s="10" t="n">
        <v>738129</v>
      </c>
    </row>
    <row r="105" customFormat="false" ht="15" hidden="false" customHeight="false" outlineLevel="0" collapsed="false">
      <c r="A105" s="0" t="s">
        <v>171</v>
      </c>
      <c r="B105" s="10" t="n">
        <v>328100</v>
      </c>
      <c r="C105" s="10" t="n">
        <v>322093</v>
      </c>
      <c r="D105" s="10" t="n">
        <v>28072</v>
      </c>
      <c r="E105" s="10" t="n">
        <v>2804800</v>
      </c>
      <c r="F105" s="10" t="n">
        <v>748000</v>
      </c>
    </row>
    <row r="106" customFormat="false" ht="15" hidden="false" customHeight="false" outlineLevel="0" collapsed="false">
      <c r="A106" s="0" t="s">
        <v>172</v>
      </c>
      <c r="B106" s="10" t="n">
        <v>277246</v>
      </c>
      <c r="C106" s="10" t="n">
        <v>321288</v>
      </c>
      <c r="D106" s="10" t="n">
        <v>43519</v>
      </c>
      <c r="E106" s="10" t="n">
        <v>2867600</v>
      </c>
      <c r="F106" s="10" t="n">
        <v>757927</v>
      </c>
    </row>
    <row r="107" customFormat="false" ht="15" hidden="false" customHeight="false" outlineLevel="0" collapsed="false">
      <c r="A107" s="0" t="s">
        <v>173</v>
      </c>
      <c r="B107" s="10" t="n">
        <v>298338</v>
      </c>
      <c r="C107" s="10" t="n">
        <v>318952</v>
      </c>
      <c r="D107" s="10" t="n">
        <v>33335</v>
      </c>
      <c r="E107" s="10" t="n">
        <v>2913400</v>
      </c>
      <c r="F107" s="10" t="n">
        <v>764673</v>
      </c>
    </row>
    <row r="108" customFormat="false" ht="15" hidden="false" customHeight="false" outlineLevel="0" collapsed="false">
      <c r="A108" s="0" t="s">
        <v>174</v>
      </c>
      <c r="B108" s="10" t="n">
        <v>294399</v>
      </c>
      <c r="C108" s="10" t="n">
        <v>314524</v>
      </c>
      <c r="D108" s="10" t="n">
        <v>28690</v>
      </c>
      <c r="E108" s="10" t="n">
        <v>2925600</v>
      </c>
      <c r="F108" s="10" t="n">
        <v>769261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0" min="2" style="0" width="15"/>
  </cols>
  <sheetData>
    <row r="1" customFormat="false" ht="19.7" hidden="false" customHeight="false" outlineLevel="0" collapsed="false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55.5" hidden="false" customHeight="true" outlineLevel="0" collapsed="false">
      <c r="A2" s="8" t="s">
        <v>284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28.35" hidden="false" customHeight="false" outlineLevel="0" collapsed="false">
      <c r="A4" s="5" t="s">
        <v>53</v>
      </c>
      <c r="B4" s="5" t="s">
        <v>285</v>
      </c>
      <c r="C4" s="5" t="s">
        <v>286</v>
      </c>
      <c r="D4" s="5" t="s">
        <v>287</v>
      </c>
      <c r="E4" s="5" t="s">
        <v>177</v>
      </c>
      <c r="F4" s="5" t="s">
        <v>221</v>
      </c>
      <c r="G4" s="5" t="s">
        <v>181</v>
      </c>
      <c r="H4" s="5" t="s">
        <v>227</v>
      </c>
      <c r="I4" s="5" t="s">
        <v>182</v>
      </c>
      <c r="J4" s="5" t="s">
        <v>183</v>
      </c>
    </row>
    <row r="5" customFormat="false" ht="64.9" hidden="false" customHeight="false" outlineLevel="0" collapsed="false">
      <c r="B5" s="9" t="s">
        <v>288</v>
      </c>
      <c r="C5" s="9" t="s">
        <v>289</v>
      </c>
      <c r="D5" s="9" t="s">
        <v>290</v>
      </c>
      <c r="E5" s="9" t="s">
        <v>291</v>
      </c>
      <c r="F5" s="9" t="s">
        <v>292</v>
      </c>
      <c r="G5" s="9" t="s">
        <v>293</v>
      </c>
      <c r="H5" s="9" t="s">
        <v>294</v>
      </c>
      <c r="I5" s="9" t="s">
        <v>295</v>
      </c>
      <c r="J5" s="9" t="s">
        <v>296</v>
      </c>
    </row>
    <row r="6" customFormat="false" ht="15" hidden="false" customHeight="false" outlineLevel="0" collapsed="false">
      <c r="A6" s="0" t="str">
        <f aca="false">'UK Raw Data'!A5</f>
        <v>2000-Q1</v>
      </c>
      <c r="B6" s="10" t="n">
        <f aca="false">SUM('UK Raw Data'!B5:B5)</f>
        <v>106101</v>
      </c>
      <c r="C6" s="10" t="n">
        <f aca="false">SUM('UK Raw Data'!C5:C5)-SUM('UK Raw Data'!D5:D5)</f>
        <v>80642</v>
      </c>
      <c r="D6" s="10" t="n">
        <f aca="false">SUM('UK Raw Data'!F5:F5)</f>
        <v>273551</v>
      </c>
      <c r="E6" s="11" t="n">
        <f aca="false">100*B6/D6</f>
        <v>38.7865516850606</v>
      </c>
      <c r="F6" s="11" t="n">
        <f aca="false">100*C6/D6</f>
        <v>29.4796948283867</v>
      </c>
      <c r="G6" s="11" t="n">
        <f aca="false">100*4*'UK Raw Data'!D5/'UK Raw Data'!E5</f>
        <v>8.99065949617889</v>
      </c>
      <c r="H6" s="11" t="n">
        <f aca="false">100*'UK Raw Data'!E5/D6</f>
        <v>129.153247474877</v>
      </c>
      <c r="I6" s="11" t="n">
        <f aca="false">H6</f>
        <v>129.153247474877</v>
      </c>
      <c r="J6" s="11" t="n">
        <f aca="false">G6*I6/100</f>
        <v>11.6117287087234</v>
      </c>
    </row>
    <row r="7" customFormat="false" ht="15" hidden="false" customHeight="false" outlineLevel="0" collapsed="false">
      <c r="A7" s="0" t="str">
        <f aca="false">'UK Raw Data'!A6</f>
        <v>2000-Q2</v>
      </c>
      <c r="B7" s="10" t="n">
        <f aca="false">SUM('UK Raw Data'!B5:B6)</f>
        <v>203209</v>
      </c>
      <c r="C7" s="10" t="n">
        <f aca="false">SUM('UK Raw Data'!C5:C6)-SUM('UK Raw Data'!D5:D6)</f>
        <v>159237</v>
      </c>
      <c r="D7" s="10" t="n">
        <f aca="false">SUM('UK Raw Data'!F5:F6)</f>
        <v>548654</v>
      </c>
      <c r="E7" s="11" t="n">
        <f aca="false">100*B7/D7</f>
        <v>37.0377323413299</v>
      </c>
      <c r="F7" s="11" t="n">
        <f aca="false">100*C7/D7</f>
        <v>29.0232095273159</v>
      </c>
      <c r="G7" s="11" t="n">
        <f aca="false">100*4*'UK Raw Data'!D6/'UK Raw Data'!E5</f>
        <v>9.9699971695443</v>
      </c>
      <c r="H7" s="11" t="n">
        <f aca="false">100*'UK Raw Data'!E6/D7</f>
        <v>62.2979145326563</v>
      </c>
      <c r="I7" s="11" t="n">
        <f aca="false">H6</f>
        <v>129.153247474877</v>
      </c>
      <c r="J7" s="11" t="n">
        <f aca="false">G7*I7/100</f>
        <v>12.8765751176197</v>
      </c>
    </row>
    <row r="8" customFormat="false" ht="15" hidden="false" customHeight="false" outlineLevel="0" collapsed="false">
      <c r="A8" s="0" t="str">
        <f aca="false">'UK Raw Data'!A7</f>
        <v>2000-Q3</v>
      </c>
      <c r="B8" s="10" t="n">
        <f aca="false">SUM('UK Raw Data'!B5:B7)</f>
        <v>304585</v>
      </c>
      <c r="C8" s="10" t="n">
        <f aca="false">SUM('UK Raw Data'!C5:C7)-SUM('UK Raw Data'!D5:D7)</f>
        <v>241647</v>
      </c>
      <c r="D8" s="10" t="n">
        <f aca="false">SUM('UK Raw Data'!F5:F7)</f>
        <v>825730</v>
      </c>
      <c r="E8" s="11" t="n">
        <f aca="false">100*B8/D8</f>
        <v>36.8867547503421</v>
      </c>
      <c r="F8" s="11" t="n">
        <f aca="false">100*C8/D8</f>
        <v>29.2646506727381</v>
      </c>
      <c r="G8" s="11" t="n">
        <f aca="false">100*4*'UK Raw Data'!D7/'UK Raw Data'!E6</f>
        <v>9.8396723229959</v>
      </c>
      <c r="H8" s="11" t="n">
        <f aca="false">100*'UK Raw Data'!E7/D8</f>
        <v>39.5528804815133</v>
      </c>
      <c r="I8" s="11" t="n">
        <f aca="false">H7</f>
        <v>62.2979145326563</v>
      </c>
      <c r="J8" s="11" t="n">
        <f aca="false">G8*I8/100</f>
        <v>6.12991065407342</v>
      </c>
    </row>
    <row r="9" customFormat="false" ht="15" hidden="false" customHeight="false" outlineLevel="0" collapsed="false">
      <c r="A9" s="0" t="str">
        <f aca="false">'UK Raw Data'!A8</f>
        <v>2000-Q4</v>
      </c>
      <c r="B9" s="10" t="n">
        <f aca="false">SUM('UK Raw Data'!B5:B8)</f>
        <v>400191</v>
      </c>
      <c r="C9" s="10" t="n">
        <f aca="false">SUM('UK Raw Data'!C5:C8)-SUM('UK Raw Data'!D5:D8)</f>
        <v>325721</v>
      </c>
      <c r="D9" s="10" t="n">
        <f aca="false">SUM('UK Raw Data'!F5:F8)</f>
        <v>1104759</v>
      </c>
      <c r="E9" s="11" t="n">
        <f aca="false">100*B9/D9</f>
        <v>36.2242805897033</v>
      </c>
      <c r="F9" s="11" t="n">
        <f aca="false">100*C9/D9</f>
        <v>29.4834439004344</v>
      </c>
      <c r="G9" s="11" t="n">
        <f aca="false">100*4*'UK Raw Data'!D8/'UK Raw Data'!E7</f>
        <v>11.1328842620943</v>
      </c>
      <c r="H9" s="11" t="n">
        <f aca="false">100*'UK Raw Data'!E8/D9</f>
        <v>30.1694758766392</v>
      </c>
      <c r="I9" s="11" t="n">
        <f aca="false">H8</f>
        <v>39.5528804815133</v>
      </c>
      <c r="J9" s="11" t="n">
        <f aca="false">G9*I9/100</f>
        <v>4.40337640633137</v>
      </c>
    </row>
    <row r="10" customFormat="false" ht="15" hidden="false" customHeight="false" outlineLevel="0" collapsed="false">
      <c r="A10" s="0" t="str">
        <f aca="false">'UK Raw Data'!A9</f>
        <v>2001-Q1</v>
      </c>
      <c r="B10" s="10" t="n">
        <f aca="false">SUM('UK Raw Data'!B6:B9)</f>
        <v>406412</v>
      </c>
      <c r="C10" s="10" t="n">
        <f aca="false">SUM('UK Raw Data'!C6:C9)-SUM('UK Raw Data'!D6:D9)</f>
        <v>331403</v>
      </c>
      <c r="D10" s="10" t="n">
        <f aca="false">SUM('UK Raw Data'!F6:F9)</f>
        <v>1114932</v>
      </c>
      <c r="E10" s="11" t="n">
        <f aca="false">100*B10/D10</f>
        <v>36.4517297915927</v>
      </c>
      <c r="F10" s="11" t="n">
        <f aca="false">100*C10/D10</f>
        <v>29.7240549199413</v>
      </c>
      <c r="G10" s="11" t="n">
        <f aca="false">100*4*'UK Raw Data'!D9/'UK Raw Data'!E8</f>
        <v>10.024602460246</v>
      </c>
      <c r="H10" s="11" t="n">
        <f aca="false">100*'UK Raw Data'!E9/D10</f>
        <v>28.8806851000779</v>
      </c>
      <c r="I10" s="11" t="n">
        <f aca="false">H9</f>
        <v>30.1694758766392</v>
      </c>
      <c r="J10" s="11" t="n">
        <f aca="false">G10*I10/100</f>
        <v>3.0243700209729</v>
      </c>
    </row>
    <row r="11" customFormat="false" ht="15" hidden="false" customHeight="false" outlineLevel="0" collapsed="false">
      <c r="A11" s="0" t="str">
        <f aca="false">'UK Raw Data'!A10</f>
        <v>2001-Q2</v>
      </c>
      <c r="B11" s="10" t="n">
        <f aca="false">SUM('UK Raw Data'!B7:B10)</f>
        <v>409260</v>
      </c>
      <c r="C11" s="10" t="n">
        <f aca="false">SUM('UK Raw Data'!C7:C10)-SUM('UK Raw Data'!D7:D10)</f>
        <v>338978</v>
      </c>
      <c r="D11" s="10" t="n">
        <f aca="false">SUM('UK Raw Data'!F7:F10)</f>
        <v>1127432</v>
      </c>
      <c r="E11" s="11" t="n">
        <f aca="false">100*B11/D11</f>
        <v>36.3001937145655</v>
      </c>
      <c r="F11" s="11" t="n">
        <f aca="false">100*C11/D11</f>
        <v>30.0663809435957</v>
      </c>
      <c r="G11" s="11" t="n">
        <f aca="false">100*4*'UK Raw Data'!D10/'UK Raw Data'!E9</f>
        <v>10.0993788819876</v>
      </c>
      <c r="H11" s="11" t="n">
        <f aca="false">100*'UK Raw Data'!E10/D11</f>
        <v>29.2966671160655</v>
      </c>
      <c r="I11" s="11" t="n">
        <f aca="false">H10</f>
        <v>28.8806851000779</v>
      </c>
      <c r="J11" s="11" t="n">
        <f aca="false">G11*I11/100</f>
        <v>2.9167698119706</v>
      </c>
    </row>
    <row r="12" customFormat="false" ht="15" hidden="false" customHeight="false" outlineLevel="0" collapsed="false">
      <c r="A12" s="0" t="str">
        <f aca="false">'UK Raw Data'!A11</f>
        <v>2001-Q3</v>
      </c>
      <c r="B12" s="10" t="n">
        <f aca="false">SUM('UK Raw Data'!B8:B11)</f>
        <v>411626</v>
      </c>
      <c r="C12" s="10" t="n">
        <f aca="false">SUM('UK Raw Data'!C8:C11)-SUM('UK Raw Data'!D8:D11)</f>
        <v>344808</v>
      </c>
      <c r="D12" s="10" t="n">
        <f aca="false">SUM('UK Raw Data'!F8:F11)</f>
        <v>1139689</v>
      </c>
      <c r="E12" s="11" t="n">
        <f aca="false">100*B12/D12</f>
        <v>36.1173969389895</v>
      </c>
      <c r="F12" s="11" t="n">
        <f aca="false">100*C12/D12</f>
        <v>30.254569448332</v>
      </c>
      <c r="G12" s="11" t="n">
        <f aca="false">100*4*'UK Raw Data'!D11/'UK Raw Data'!E10</f>
        <v>9.21344232515895</v>
      </c>
      <c r="H12" s="11" t="n">
        <f aca="false">100*'UK Raw Data'!E11/D12</f>
        <v>28.4814541510886</v>
      </c>
      <c r="I12" s="11" t="n">
        <f aca="false">H11</f>
        <v>29.2966671160655</v>
      </c>
      <c r="J12" s="11" t="n">
        <f aca="false">G12*I12/100</f>
        <v>2.69923152793251</v>
      </c>
    </row>
    <row r="13" customFormat="false" ht="15" hidden="false" customHeight="false" outlineLevel="0" collapsed="false">
      <c r="A13" s="0" t="str">
        <f aca="false">'UK Raw Data'!A12</f>
        <v>2001-Q4</v>
      </c>
      <c r="B13" s="10" t="n">
        <f aca="false">SUM('UK Raw Data'!B9:B12)</f>
        <v>412991</v>
      </c>
      <c r="C13" s="10" t="n">
        <f aca="false">SUM('UK Raw Data'!C9:C12)-SUM('UK Raw Data'!D9:D12)</f>
        <v>352598</v>
      </c>
      <c r="D13" s="10" t="n">
        <f aca="false">SUM('UK Raw Data'!F9:F12)</f>
        <v>1150542</v>
      </c>
      <c r="E13" s="11" t="n">
        <f aca="false">100*B13/D13</f>
        <v>35.8953432382303</v>
      </c>
      <c r="F13" s="11" t="n">
        <f aca="false">100*C13/D13</f>
        <v>30.6462519403898</v>
      </c>
      <c r="G13" s="11" t="n">
        <f aca="false">100*4*'UK Raw Data'!D12/'UK Raw Data'!E11</f>
        <v>10.0862600123229</v>
      </c>
      <c r="H13" s="11" t="n">
        <f aca="false">100*'UK Raw Data'!E12/D13</f>
        <v>29.1601697287018</v>
      </c>
      <c r="I13" s="11" t="n">
        <f aca="false">H12</f>
        <v>28.4814541510886</v>
      </c>
      <c r="J13" s="11" t="n">
        <f aca="false">G13*I13/100</f>
        <v>2.87271352096932</v>
      </c>
    </row>
    <row r="14" customFormat="false" ht="15" hidden="false" customHeight="false" outlineLevel="0" collapsed="false">
      <c r="A14" s="0" t="str">
        <f aca="false">'UK Raw Data'!A13</f>
        <v>2002-Q1</v>
      </c>
      <c r="B14" s="10" t="n">
        <f aca="false">SUM('UK Raw Data'!B10:B13)</f>
        <v>412411</v>
      </c>
      <c r="C14" s="10" t="n">
        <f aca="false">SUM('UK Raw Data'!C10:C13)-SUM('UK Raw Data'!D10:D13)</f>
        <v>361368</v>
      </c>
      <c r="D14" s="10" t="n">
        <f aca="false">SUM('UK Raw Data'!F10:F13)</f>
        <v>1160696</v>
      </c>
      <c r="E14" s="11" t="n">
        <f aca="false">100*B14/D14</f>
        <v>35.5313536016321</v>
      </c>
      <c r="F14" s="11" t="n">
        <f aca="false">100*C14/D14</f>
        <v>31.1337335529717</v>
      </c>
      <c r="G14" s="11" t="n">
        <f aca="false">100*4*'UK Raw Data'!D13/'UK Raw Data'!E12</f>
        <v>8.79284649776453</v>
      </c>
      <c r="H14" s="11" t="n">
        <f aca="false">100*'UK Raw Data'!E13/D14</f>
        <v>28.4829102538477</v>
      </c>
      <c r="I14" s="11" t="n">
        <f aca="false">H13</f>
        <v>29.1601697287018</v>
      </c>
      <c r="J14" s="11" t="n">
        <f aca="false">G14*I14/100</f>
        <v>2.56400896273235</v>
      </c>
    </row>
    <row r="15" customFormat="false" ht="15" hidden="false" customHeight="false" outlineLevel="0" collapsed="false">
      <c r="A15" s="0" t="str">
        <f aca="false">'UK Raw Data'!A14</f>
        <v>2002-Q2</v>
      </c>
      <c r="B15" s="10" t="n">
        <f aca="false">SUM('UK Raw Data'!B11:B14)</f>
        <v>412173</v>
      </c>
      <c r="C15" s="10" t="n">
        <f aca="false">SUM('UK Raw Data'!C11:C14)-SUM('UK Raw Data'!D11:D14)</f>
        <v>369508</v>
      </c>
      <c r="D15" s="10" t="n">
        <f aca="false">SUM('UK Raw Data'!F11:F14)</f>
        <v>1170094</v>
      </c>
      <c r="E15" s="11" t="n">
        <f aca="false">100*B15/D15</f>
        <v>35.225631444995</v>
      </c>
      <c r="F15" s="11" t="n">
        <f aca="false">100*C15/D15</f>
        <v>31.5793431980678</v>
      </c>
      <c r="G15" s="11" t="n">
        <f aca="false">100*4*'UK Raw Data'!D14/'UK Raw Data'!E13</f>
        <v>9.70114942528736</v>
      </c>
      <c r="H15" s="11" t="n">
        <f aca="false">100*'UK Raw Data'!E14/D15</f>
        <v>28.9805776288059</v>
      </c>
      <c r="I15" s="11" t="n">
        <f aca="false">H14</f>
        <v>28.4829102538477</v>
      </c>
      <c r="J15" s="11" t="n">
        <f aca="false">G15*I15/100</f>
        <v>2.76316968439626</v>
      </c>
    </row>
    <row r="16" customFormat="false" ht="15" hidden="false" customHeight="false" outlineLevel="0" collapsed="false">
      <c r="A16" s="0" t="str">
        <f aca="false">'UK Raw Data'!A15</f>
        <v>2002-Q3</v>
      </c>
      <c r="B16" s="10" t="n">
        <f aca="false">SUM('UK Raw Data'!B12:B15)</f>
        <v>413507</v>
      </c>
      <c r="C16" s="10" t="n">
        <f aca="false">SUM('UK Raw Data'!C12:C15)-SUM('UK Raw Data'!D12:D15)</f>
        <v>378680</v>
      </c>
      <c r="D16" s="10" t="n">
        <f aca="false">SUM('UK Raw Data'!F12:F15)</f>
        <v>1180624</v>
      </c>
      <c r="E16" s="11" t="n">
        <f aca="false">100*B16/D16</f>
        <v>35.0244447004296</v>
      </c>
      <c r="F16" s="11" t="n">
        <f aca="false">100*C16/D16</f>
        <v>32.0745639593977</v>
      </c>
      <c r="G16" s="11" t="n">
        <f aca="false">100*4*'UK Raw Data'!D15/'UK Raw Data'!E14</f>
        <v>8.05072250073725</v>
      </c>
      <c r="H16" s="11" t="n">
        <f aca="false">100*'UK Raw Data'!E15/D16</f>
        <v>29.1032538725284</v>
      </c>
      <c r="I16" s="11" t="n">
        <f aca="false">H15</f>
        <v>28.9805776288059</v>
      </c>
      <c r="J16" s="11" t="n">
        <f aca="false">G16*I16/100</f>
        <v>2.3331458840059</v>
      </c>
    </row>
    <row r="17" customFormat="false" ht="15" hidden="false" customHeight="false" outlineLevel="0" collapsed="false">
      <c r="A17" s="0" t="str">
        <f aca="false">'UK Raw Data'!A16</f>
        <v>2002-Q4</v>
      </c>
      <c r="B17" s="10" t="n">
        <f aca="false">SUM('UK Raw Data'!B13:B16)</f>
        <v>416326</v>
      </c>
      <c r="C17" s="10" t="n">
        <f aca="false">SUM('UK Raw Data'!C13:C16)-SUM('UK Raw Data'!D13:D16)</f>
        <v>385309</v>
      </c>
      <c r="D17" s="10" t="n">
        <f aca="false">SUM('UK Raw Data'!F13:F16)</f>
        <v>1194646</v>
      </c>
      <c r="E17" s="11" t="n">
        <f aca="false">100*B17/D17</f>
        <v>34.849319379967</v>
      </c>
      <c r="F17" s="11" t="n">
        <f aca="false">100*C17/D17</f>
        <v>32.2529854032073</v>
      </c>
      <c r="G17" s="11" t="n">
        <f aca="false">100*4*'UK Raw Data'!D16/'UK Raw Data'!E15</f>
        <v>9.82887077997672</v>
      </c>
      <c r="H17" s="11" t="n">
        <f aca="false">100*'UK Raw Data'!E16/D17</f>
        <v>30.8626990757095</v>
      </c>
      <c r="I17" s="11" t="n">
        <f aca="false">H16</f>
        <v>29.1032538725284</v>
      </c>
      <c r="J17" s="11" t="n">
        <f aca="false">G17*I17/100</f>
        <v>2.86052121589939</v>
      </c>
    </row>
    <row r="18" customFormat="false" ht="15" hidden="false" customHeight="false" outlineLevel="0" collapsed="false">
      <c r="A18" s="0" t="str">
        <f aca="false">'UK Raw Data'!A17</f>
        <v>2003-Q1</v>
      </c>
      <c r="B18" s="10" t="n">
        <f aca="false">SUM('UK Raw Data'!B14:B17)</f>
        <v>417783</v>
      </c>
      <c r="C18" s="10" t="n">
        <f aca="false">SUM('UK Raw Data'!C14:C17)-SUM('UK Raw Data'!D14:D17)</f>
        <v>395165</v>
      </c>
      <c r="D18" s="10" t="n">
        <f aca="false">SUM('UK Raw Data'!F14:F17)</f>
        <v>1208344</v>
      </c>
      <c r="E18" s="11" t="n">
        <f aca="false">100*B18/D18</f>
        <v>34.5748396152089</v>
      </c>
      <c r="F18" s="11" t="n">
        <f aca="false">100*C18/D18</f>
        <v>32.7030216560847</v>
      </c>
      <c r="G18" s="11" t="n">
        <f aca="false">100*4*'UK Raw Data'!D17/'UK Raw Data'!E16</f>
        <v>8.04014103607269</v>
      </c>
      <c r="H18" s="11" t="n">
        <f aca="false">100*'UK Raw Data'!E17/D18</f>
        <v>30.5542130386711</v>
      </c>
      <c r="I18" s="11" t="n">
        <f aca="false">H17</f>
        <v>30.8626990757095</v>
      </c>
      <c r="J18" s="11" t="n">
        <f aca="false">G18*I18/100</f>
        <v>2.48140453322574</v>
      </c>
    </row>
    <row r="19" customFormat="false" ht="15" hidden="false" customHeight="false" outlineLevel="0" collapsed="false">
      <c r="A19" s="0" t="str">
        <f aca="false">'UK Raw Data'!A18</f>
        <v>2003-Q2</v>
      </c>
      <c r="B19" s="10" t="n">
        <f aca="false">SUM('UK Raw Data'!B15:B18)</f>
        <v>424791</v>
      </c>
      <c r="C19" s="10" t="n">
        <f aca="false">SUM('UK Raw Data'!C15:C18)-SUM('UK Raw Data'!D15:D18)</f>
        <v>406087</v>
      </c>
      <c r="D19" s="10" t="n">
        <f aca="false">SUM('UK Raw Data'!F15:F18)</f>
        <v>1224966</v>
      </c>
      <c r="E19" s="11" t="n">
        <f aca="false">100*B19/D19</f>
        <v>34.6777788118201</v>
      </c>
      <c r="F19" s="11" t="n">
        <f aca="false">100*C19/D19</f>
        <v>33.1508792897109</v>
      </c>
      <c r="G19" s="11" t="n">
        <f aca="false">100*4*'UK Raw Data'!D18/'UK Raw Data'!E17</f>
        <v>9.07475622968581</v>
      </c>
      <c r="H19" s="11" t="n">
        <f aca="false">100*'UK Raw Data'!E18/D19</f>
        <v>30.6539120269461</v>
      </c>
      <c r="I19" s="11" t="n">
        <f aca="false">H18</f>
        <v>30.5542130386711</v>
      </c>
      <c r="J19" s="11" t="n">
        <f aca="false">G19*I19/100</f>
        <v>2.77272035115828</v>
      </c>
    </row>
    <row r="20" customFormat="false" ht="15" hidden="false" customHeight="false" outlineLevel="0" collapsed="false">
      <c r="A20" s="0" t="str">
        <f aca="false">'UK Raw Data'!A19</f>
        <v>2003-Q3</v>
      </c>
      <c r="B20" s="10" t="n">
        <f aca="false">SUM('UK Raw Data'!B16:B19)</f>
        <v>430638</v>
      </c>
      <c r="C20" s="10" t="n">
        <f aca="false">SUM('UK Raw Data'!C16:C19)-SUM('UK Raw Data'!D16:D19)</f>
        <v>416756</v>
      </c>
      <c r="D20" s="10" t="n">
        <f aca="false">SUM('UK Raw Data'!F16:F19)</f>
        <v>1243978</v>
      </c>
      <c r="E20" s="11" t="n">
        <f aca="false">100*B20/D20</f>
        <v>34.6178147845058</v>
      </c>
      <c r="F20" s="11" t="n">
        <f aca="false">100*C20/D20</f>
        <v>33.5018786505871</v>
      </c>
      <c r="G20" s="11" t="n">
        <f aca="false">100*4*'UK Raw Data'!D19/'UK Raw Data'!E18</f>
        <v>8.15233022636485</v>
      </c>
      <c r="H20" s="11" t="n">
        <f aca="false">100*'UK Raw Data'!E19/D20</f>
        <v>30.8204807480518</v>
      </c>
      <c r="I20" s="11" t="n">
        <f aca="false">H19</f>
        <v>30.6539120269461</v>
      </c>
      <c r="J20" s="11" t="n">
        <f aca="false">G20*I20/100</f>
        <v>2.49900813573601</v>
      </c>
    </row>
    <row r="21" customFormat="false" ht="15" hidden="false" customHeight="false" outlineLevel="0" collapsed="false">
      <c r="A21" s="0" t="str">
        <f aca="false">'UK Raw Data'!A20</f>
        <v>2003-Q4</v>
      </c>
      <c r="B21" s="10" t="n">
        <f aca="false">SUM('UK Raw Data'!B17:B20)</f>
        <v>439313</v>
      </c>
      <c r="C21" s="10" t="n">
        <f aca="false">SUM('UK Raw Data'!C17:C20)-SUM('UK Raw Data'!D17:D20)</f>
        <v>425835</v>
      </c>
      <c r="D21" s="10" t="n">
        <f aca="false">SUM('UK Raw Data'!F17:F20)</f>
        <v>1262502</v>
      </c>
      <c r="E21" s="11" t="n">
        <f aca="false">100*B21/D21</f>
        <v>34.7970141829478</v>
      </c>
      <c r="F21" s="11" t="n">
        <f aca="false">100*C21/D21</f>
        <v>33.7294515177006</v>
      </c>
      <c r="G21" s="11" t="n">
        <f aca="false">100*4*'UK Raw Data'!D20/'UK Raw Data'!E19</f>
        <v>9.2509128847157</v>
      </c>
      <c r="H21" s="11" t="n">
        <f aca="false">100*'UK Raw Data'!E20/D21</f>
        <v>32.0474739841996</v>
      </c>
      <c r="I21" s="11" t="n">
        <f aca="false">H20</f>
        <v>30.8204807480518</v>
      </c>
      <c r="J21" s="11" t="n">
        <f aca="false">G21*I21/100</f>
        <v>2.85117582465285</v>
      </c>
    </row>
    <row r="22" customFormat="false" ht="15" hidden="false" customHeight="false" outlineLevel="0" collapsed="false">
      <c r="A22" s="0" t="str">
        <f aca="false">'UK Raw Data'!A21</f>
        <v>2004-Q1</v>
      </c>
      <c r="B22" s="10" t="n">
        <f aca="false">SUM('UK Raw Data'!B18:B21)</f>
        <v>450875</v>
      </c>
      <c r="C22" s="10" t="n">
        <f aca="false">SUM('UK Raw Data'!C18:C21)-SUM('UK Raw Data'!D18:D21)</f>
        <v>433936</v>
      </c>
      <c r="D22" s="10" t="n">
        <f aca="false">SUM('UK Raw Data'!F18:F21)</f>
        <v>1279226</v>
      </c>
      <c r="E22" s="11" t="n">
        <f aca="false">100*B22/D22</f>
        <v>35.2459221435462</v>
      </c>
      <c r="F22" s="11" t="n">
        <f aca="false">100*C22/D22</f>
        <v>33.921762065499</v>
      </c>
      <c r="G22" s="11" t="n">
        <f aca="false">100*4*'UK Raw Data'!D21/'UK Raw Data'!E20</f>
        <v>7.6826495304004</v>
      </c>
      <c r="H22" s="11" t="n">
        <f aca="false">100*'UK Raw Data'!E21/D22</f>
        <v>31.6206831318313</v>
      </c>
      <c r="I22" s="11" t="n">
        <f aca="false">H21</f>
        <v>32.0474739841996</v>
      </c>
      <c r="J22" s="11" t="n">
        <f aca="false">G22*I22/100</f>
        <v>2.4620951095523</v>
      </c>
    </row>
    <row r="23" customFormat="false" ht="15" hidden="false" customHeight="false" outlineLevel="0" collapsed="false">
      <c r="A23" s="0" t="str">
        <f aca="false">'UK Raw Data'!A22</f>
        <v>2004-Q2</v>
      </c>
      <c r="B23" s="10" t="n">
        <f aca="false">SUM('UK Raw Data'!B19:B22)</f>
        <v>456281</v>
      </c>
      <c r="C23" s="10" t="n">
        <f aca="false">SUM('UK Raw Data'!C19:C22)-SUM('UK Raw Data'!D19:D22)</f>
        <v>440856</v>
      </c>
      <c r="D23" s="10" t="n">
        <f aca="false">SUM('UK Raw Data'!F19:F22)</f>
        <v>1296670</v>
      </c>
      <c r="E23" s="11" t="n">
        <f aca="false">100*B23/D23</f>
        <v>35.1886756075177</v>
      </c>
      <c r="F23" s="11" t="n">
        <f aca="false">100*C23/D23</f>
        <v>33.9990899766325</v>
      </c>
      <c r="G23" s="11" t="n">
        <f aca="false">100*4*'UK Raw Data'!D22/'UK Raw Data'!E21</f>
        <v>8.64573547589617</v>
      </c>
      <c r="H23" s="11" t="n">
        <f aca="false">100*'UK Raw Data'!E22/D23</f>
        <v>33.1772926033609</v>
      </c>
      <c r="I23" s="11" t="n">
        <f aca="false">H22</f>
        <v>31.6206831318313</v>
      </c>
      <c r="J23" s="11" t="n">
        <f aca="false">G23*I23/100</f>
        <v>2.73384061924945</v>
      </c>
    </row>
    <row r="24" customFormat="false" ht="15" hidden="false" customHeight="false" outlineLevel="0" collapsed="false">
      <c r="A24" s="0" t="str">
        <f aca="false">'UK Raw Data'!A23</f>
        <v>2004-Q3</v>
      </c>
      <c r="B24" s="10" t="n">
        <f aca="false">SUM('UK Raw Data'!B20:B23)</f>
        <v>464826</v>
      </c>
      <c r="C24" s="10" t="n">
        <f aca="false">SUM('UK Raw Data'!C20:C23)-SUM('UK Raw Data'!D20:D23)</f>
        <v>449338</v>
      </c>
      <c r="D24" s="10" t="n">
        <f aca="false">SUM('UK Raw Data'!F20:F23)</f>
        <v>1310313</v>
      </c>
      <c r="E24" s="11" t="n">
        <f aca="false">100*B24/D24</f>
        <v>35.4744248130027</v>
      </c>
      <c r="F24" s="11" t="n">
        <f aca="false">100*C24/D24</f>
        <v>34.2924171552904</v>
      </c>
      <c r="G24" s="11" t="n">
        <f aca="false">100*4*'UK Raw Data'!D23/'UK Raw Data'!E22</f>
        <v>8.02138540213854</v>
      </c>
      <c r="H24" s="11" t="n">
        <f aca="false">100*'UK Raw Data'!E23/D24</f>
        <v>33.4271277168127</v>
      </c>
      <c r="I24" s="11" t="n">
        <f aca="false">H23</f>
        <v>33.1772926033609</v>
      </c>
      <c r="J24" s="11" t="n">
        <f aca="false">G24*I24/100</f>
        <v>2.66127850571078</v>
      </c>
    </row>
    <row r="25" customFormat="false" ht="15" hidden="false" customHeight="false" outlineLevel="0" collapsed="false">
      <c r="A25" s="0" t="str">
        <f aca="false">'UK Raw Data'!A24</f>
        <v>2004-Q4</v>
      </c>
      <c r="B25" s="10" t="n">
        <f aca="false">SUM('UK Raw Data'!B21:B24)</f>
        <v>473851</v>
      </c>
      <c r="C25" s="10" t="n">
        <f aca="false">SUM('UK Raw Data'!C21:C24)-SUM('UK Raw Data'!D21:D24)</f>
        <v>458584</v>
      </c>
      <c r="D25" s="10" t="n">
        <f aca="false">SUM('UK Raw Data'!F21:F24)</f>
        <v>1327143</v>
      </c>
      <c r="E25" s="11" t="n">
        <f aca="false">100*B25/D25</f>
        <v>35.7045924968146</v>
      </c>
      <c r="F25" s="11" t="n">
        <f aca="false">100*C25/D25</f>
        <v>34.554226635713</v>
      </c>
      <c r="G25" s="11" t="n">
        <f aca="false">100*4*'UK Raw Data'!D24/'UK Raw Data'!E23</f>
        <v>8.96803652968037</v>
      </c>
      <c r="H25" s="11" t="n">
        <f aca="false">100*'UK Raw Data'!E24/D25</f>
        <v>34.9472513512108</v>
      </c>
      <c r="I25" s="11" t="n">
        <f aca="false">H24</f>
        <v>33.4271277168127</v>
      </c>
      <c r="J25" s="11" t="n">
        <f aca="false">G25*I25/100</f>
        <v>2.99775702446667</v>
      </c>
    </row>
    <row r="26" customFormat="false" ht="15" hidden="false" customHeight="false" outlineLevel="0" collapsed="false">
      <c r="A26" s="0" t="str">
        <f aca="false">'UK Raw Data'!A25</f>
        <v>2005-Q1</v>
      </c>
      <c r="B26" s="10" t="n">
        <f aca="false">SUM('UK Raw Data'!B22:B25)</f>
        <v>483215</v>
      </c>
      <c r="C26" s="10" t="n">
        <f aca="false">SUM('UK Raw Data'!C22:C25)-SUM('UK Raw Data'!D22:D25)</f>
        <v>469163</v>
      </c>
      <c r="D26" s="10" t="n">
        <f aca="false">SUM('UK Raw Data'!F22:F25)</f>
        <v>1344682</v>
      </c>
      <c r="E26" s="11" t="n">
        <f aca="false">100*B26/D26</f>
        <v>35.9352620173394</v>
      </c>
      <c r="F26" s="11" t="n">
        <f aca="false">100*C26/D26</f>
        <v>34.8902565811099</v>
      </c>
      <c r="G26" s="11" t="n">
        <f aca="false">100*4*'UK Raw Data'!D25/'UK Raw Data'!E24</f>
        <v>7.95342820181113</v>
      </c>
      <c r="H26" s="11" t="n">
        <f aca="false">100*'UK Raw Data'!E25/D26</f>
        <v>34.2757618529883</v>
      </c>
      <c r="I26" s="11" t="n">
        <f aca="false">H25</f>
        <v>34.9472513512108</v>
      </c>
      <c r="J26" s="11" t="n">
        <f aca="false">G26*I26/100</f>
        <v>2.77950454472502</v>
      </c>
    </row>
    <row r="27" customFormat="false" ht="15" hidden="false" customHeight="false" outlineLevel="0" collapsed="false">
      <c r="A27" s="0" t="str">
        <f aca="false">'UK Raw Data'!A26</f>
        <v>2005-Q2</v>
      </c>
      <c r="B27" s="10" t="n">
        <f aca="false">SUM('UK Raw Data'!B23:B26)</f>
        <v>491379</v>
      </c>
      <c r="C27" s="10" t="n">
        <f aca="false">SUM('UK Raw Data'!C23:C26)-SUM('UK Raw Data'!D23:D26)</f>
        <v>473133</v>
      </c>
      <c r="D27" s="10" t="n">
        <f aca="false">SUM('UK Raw Data'!F23:F26)</f>
        <v>1363217</v>
      </c>
      <c r="E27" s="11" t="n">
        <f aca="false">100*B27/D27</f>
        <v>36.0455452066692</v>
      </c>
      <c r="F27" s="11" t="n">
        <f aca="false">100*C27/D27</f>
        <v>34.7070935881815</v>
      </c>
      <c r="G27" s="11" t="n">
        <f aca="false">100*4*'UK Raw Data'!D26/'UK Raw Data'!E25</f>
        <v>8.52419179865481</v>
      </c>
      <c r="H27" s="11" t="n">
        <f aca="false">100*'UK Raw Data'!E26/D27</f>
        <v>34.719344022265</v>
      </c>
      <c r="I27" s="11" t="n">
        <f aca="false">H26</f>
        <v>34.2757618529883</v>
      </c>
      <c r="J27" s="11" t="n">
        <f aca="false">G27*I27/100</f>
        <v>2.92173168079888</v>
      </c>
    </row>
    <row r="28" customFormat="false" ht="15" hidden="false" customHeight="false" outlineLevel="0" collapsed="false">
      <c r="A28" s="0" t="str">
        <f aca="false">'UK Raw Data'!A27</f>
        <v>2005-Q3</v>
      </c>
      <c r="B28" s="10" t="n">
        <f aca="false">SUM('UK Raw Data'!B24:B27)</f>
        <v>501490</v>
      </c>
      <c r="C28" s="10" t="n">
        <f aca="false">SUM('UK Raw Data'!C24:C27)-SUM('UK Raw Data'!D24:D27)</f>
        <v>479819</v>
      </c>
      <c r="D28" s="10" t="n">
        <f aca="false">SUM('UK Raw Data'!F24:F27)</f>
        <v>1384123</v>
      </c>
      <c r="E28" s="11" t="n">
        <f aca="false">100*B28/D28</f>
        <v>36.2316065840969</v>
      </c>
      <c r="F28" s="11" t="n">
        <f aca="false">100*C28/D28</f>
        <v>34.6659220314958</v>
      </c>
      <c r="G28" s="11" t="n">
        <f aca="false">100*4*'UK Raw Data'!D27/'UK Raw Data'!E26</f>
        <v>7.80984576378618</v>
      </c>
      <c r="H28" s="11" t="n">
        <f aca="false">100*'UK Raw Data'!E27/D28</f>
        <v>34.9174170214641</v>
      </c>
      <c r="I28" s="11" t="n">
        <f aca="false">H27</f>
        <v>34.719344022265</v>
      </c>
      <c r="J28" s="11" t="n">
        <f aca="false">G28*I28/100</f>
        <v>2.71152721833721</v>
      </c>
    </row>
    <row r="29" customFormat="false" ht="15" hidden="false" customHeight="false" outlineLevel="0" collapsed="false">
      <c r="A29" s="0" t="str">
        <f aca="false">'UK Raw Data'!A28</f>
        <v>2005-Q4</v>
      </c>
      <c r="B29" s="10" t="n">
        <f aca="false">SUM('UK Raw Data'!B25:B28)</f>
        <v>508953</v>
      </c>
      <c r="C29" s="10" t="n">
        <f aca="false">SUM('UK Raw Data'!C25:C28)-SUM('UK Raw Data'!D25:D28)</f>
        <v>487686</v>
      </c>
      <c r="D29" s="10" t="n">
        <f aca="false">SUM('UK Raw Data'!F25:F28)</f>
        <v>1403249</v>
      </c>
      <c r="E29" s="11" t="n">
        <f aca="false">100*B29/D29</f>
        <v>36.2696143022372</v>
      </c>
      <c r="F29" s="11" t="n">
        <f aca="false">100*C29/D29</f>
        <v>34.754060042088</v>
      </c>
      <c r="G29" s="11" t="n">
        <f aca="false">100*4*'UK Raw Data'!D28/'UK Raw Data'!E27</f>
        <v>8.68942685702462</v>
      </c>
      <c r="H29" s="11" t="n">
        <f aca="false">100*'UK Raw Data'!E28/D29</f>
        <v>35.8810161275725</v>
      </c>
      <c r="I29" s="11" t="n">
        <f aca="false">H28</f>
        <v>34.9174170214641</v>
      </c>
      <c r="J29" s="11" t="n">
        <f aca="false">G29*I29/100</f>
        <v>3.03412341244239</v>
      </c>
    </row>
    <row r="30" customFormat="false" ht="15" hidden="false" customHeight="false" outlineLevel="0" collapsed="false">
      <c r="A30" s="0" t="str">
        <f aca="false">'UK Raw Data'!A29</f>
        <v>2006-Q1</v>
      </c>
      <c r="B30" s="10" t="n">
        <f aca="false">SUM('UK Raw Data'!B26:B29)</f>
        <v>519728</v>
      </c>
      <c r="C30" s="10" t="n">
        <f aca="false">SUM('UK Raw Data'!C26:C29)-SUM('UK Raw Data'!D26:D29)</f>
        <v>494592</v>
      </c>
      <c r="D30" s="10" t="n">
        <f aca="false">SUM('UK Raw Data'!F26:F29)</f>
        <v>1424005</v>
      </c>
      <c r="E30" s="11" t="n">
        <f aca="false">100*B30/D30</f>
        <v>36.4976246572168</v>
      </c>
      <c r="F30" s="11" t="n">
        <f aca="false">100*C30/D30</f>
        <v>34.7324623157924</v>
      </c>
      <c r="G30" s="11" t="n">
        <f aca="false">100*4*'UK Raw Data'!D29/'UK Raw Data'!E28</f>
        <v>7.50268123138034</v>
      </c>
      <c r="H30" s="11" t="n">
        <f aca="false">100*'UK Raw Data'!E29/D30</f>
        <v>35.0701015796995</v>
      </c>
      <c r="I30" s="11" t="n">
        <f aca="false">H29</f>
        <v>35.8810161275725</v>
      </c>
      <c r="J30" s="11" t="n">
        <f aca="false">G30*I30/100</f>
        <v>2.69203826263194</v>
      </c>
    </row>
    <row r="31" customFormat="false" ht="15" hidden="false" customHeight="false" outlineLevel="0" collapsed="false">
      <c r="A31" s="0" t="str">
        <f aca="false">'UK Raw Data'!A30</f>
        <v>2006-Q2</v>
      </c>
      <c r="B31" s="10" t="n">
        <f aca="false">SUM('UK Raw Data'!B27:B30)</f>
        <v>527744</v>
      </c>
      <c r="C31" s="10" t="n">
        <f aca="false">SUM('UK Raw Data'!C27:C30)-SUM('UK Raw Data'!D27:D30)</f>
        <v>501505</v>
      </c>
      <c r="D31" s="10" t="n">
        <f aca="false">SUM('UK Raw Data'!F27:F30)</f>
        <v>1442925</v>
      </c>
      <c r="E31" s="11" t="n">
        <f aca="false">100*B31/D31</f>
        <v>36.5745967392623</v>
      </c>
      <c r="F31" s="11" t="n">
        <f aca="false">100*C31/D31</f>
        <v>34.756137706395</v>
      </c>
      <c r="G31" s="11" t="n">
        <f aca="false">100*4*'UK Raw Data'!D30/'UK Raw Data'!E29</f>
        <v>8.17220664797757</v>
      </c>
      <c r="H31" s="11" t="n">
        <f aca="false">100*'UK Raw Data'!E30/D31</f>
        <v>36.037909108235</v>
      </c>
      <c r="I31" s="11" t="n">
        <f aca="false">H30</f>
        <v>35.0701015796995</v>
      </c>
      <c r="J31" s="11" t="n">
        <f aca="false">G31*I31/100</f>
        <v>2.86600117274869</v>
      </c>
    </row>
    <row r="32" customFormat="false" ht="15" hidden="false" customHeight="false" outlineLevel="0" collapsed="false">
      <c r="A32" s="0" t="str">
        <f aca="false">'UK Raw Data'!A31</f>
        <v>2006-Q3</v>
      </c>
      <c r="B32" s="10" t="n">
        <f aca="false">SUM('UK Raw Data'!B28:B31)</f>
        <v>534397</v>
      </c>
      <c r="C32" s="10" t="n">
        <f aca="false">SUM('UK Raw Data'!C28:C31)-SUM('UK Raw Data'!D28:D31)</f>
        <v>507741</v>
      </c>
      <c r="D32" s="10" t="n">
        <f aca="false">SUM('UK Raw Data'!F28:F31)</f>
        <v>1462083</v>
      </c>
      <c r="E32" s="11" t="n">
        <f aca="false">100*B32/D32</f>
        <v>36.55038735831</v>
      </c>
      <c r="F32" s="11" t="n">
        <f aca="false">100*C32/D32</f>
        <v>34.7272350475315</v>
      </c>
      <c r="G32" s="11" t="n">
        <f aca="false">100*4*'UK Raw Data'!D31/'UK Raw Data'!E30</f>
        <v>7.65</v>
      </c>
      <c r="H32" s="11" t="n">
        <f aca="false">100*'UK Raw Data'!E31/D32</f>
        <v>35.8803159601746</v>
      </c>
      <c r="I32" s="11" t="n">
        <f aca="false">H31</f>
        <v>36.037909108235</v>
      </c>
      <c r="J32" s="11" t="n">
        <f aca="false">G32*I32/100</f>
        <v>2.75690004677998</v>
      </c>
    </row>
    <row r="33" customFormat="false" ht="15" hidden="false" customHeight="false" outlineLevel="0" collapsed="false">
      <c r="A33" s="0" t="str">
        <f aca="false">'UK Raw Data'!A32</f>
        <v>2006-Q4</v>
      </c>
      <c r="B33" s="10" t="n">
        <f aca="false">SUM('UK Raw Data'!B29:B32)</f>
        <v>541203</v>
      </c>
      <c r="C33" s="10" t="n">
        <f aca="false">SUM('UK Raw Data'!C29:C32)-SUM('UK Raw Data'!D29:D32)</f>
        <v>510656</v>
      </c>
      <c r="D33" s="10" t="n">
        <f aca="false">SUM('UK Raw Data'!F29:F32)</f>
        <v>1478080</v>
      </c>
      <c r="E33" s="11" t="n">
        <f aca="false">100*B33/D33</f>
        <v>36.6152711625893</v>
      </c>
      <c r="F33" s="11" t="n">
        <f aca="false">100*C33/D33</f>
        <v>34.5486035938515</v>
      </c>
      <c r="G33" s="11" t="n">
        <f aca="false">100*4*'UK Raw Data'!D32/'UK Raw Data'!E31</f>
        <v>8.77239801753717</v>
      </c>
      <c r="H33" s="11" t="n">
        <f aca="false">100*'UK Raw Data'!E32/D33</f>
        <v>36.4662264559428</v>
      </c>
      <c r="I33" s="11" t="n">
        <f aca="false">H32</f>
        <v>35.8803159601746</v>
      </c>
      <c r="J33" s="11" t="n">
        <f aca="false">G33*I33/100</f>
        <v>3.14756412597643</v>
      </c>
    </row>
    <row r="34" customFormat="false" ht="15" hidden="false" customHeight="false" outlineLevel="0" collapsed="false">
      <c r="A34" s="0" t="str">
        <f aca="false">'UK Raw Data'!A33</f>
        <v>2007-Q1</v>
      </c>
      <c r="B34" s="10" t="n">
        <f aca="false">SUM('UK Raw Data'!B30:B33)</f>
        <v>551501</v>
      </c>
      <c r="C34" s="10" t="n">
        <f aca="false">SUM('UK Raw Data'!C30:C33)-SUM('UK Raw Data'!D30:D33)</f>
        <v>516356</v>
      </c>
      <c r="D34" s="10" t="n">
        <f aca="false">SUM('UK Raw Data'!F30:F33)</f>
        <v>1494157</v>
      </c>
      <c r="E34" s="11" t="n">
        <f aca="false">100*B34/D34</f>
        <v>36.9105120813944</v>
      </c>
      <c r="F34" s="11" t="n">
        <f aca="false">100*C34/D34</f>
        <v>34.5583496245709</v>
      </c>
      <c r="G34" s="11" t="n">
        <f aca="false">100*4*'UK Raw Data'!D33/'UK Raw Data'!E32</f>
        <v>8.13506493506494</v>
      </c>
      <c r="H34" s="11" t="n">
        <f aca="false">100*'UK Raw Data'!E33/D34</f>
        <v>35.8195290053187</v>
      </c>
      <c r="I34" s="11" t="n">
        <f aca="false">H33</f>
        <v>36.4662264559428</v>
      </c>
      <c r="J34" s="11" t="n">
        <f aca="false">G34*I34/100</f>
        <v>2.96655120155878</v>
      </c>
    </row>
    <row r="35" customFormat="false" ht="15" hidden="false" customHeight="false" outlineLevel="0" collapsed="false">
      <c r="A35" s="0" t="str">
        <f aca="false">'UK Raw Data'!A34</f>
        <v>2007-Q2</v>
      </c>
      <c r="B35" s="10" t="n">
        <f aca="false">SUM('UK Raw Data'!B31:B34)</f>
        <v>558430</v>
      </c>
      <c r="C35" s="10" t="n">
        <f aca="false">SUM('UK Raw Data'!C31:C34)-SUM('UK Raw Data'!D31:D34)</f>
        <v>520488</v>
      </c>
      <c r="D35" s="10" t="n">
        <f aca="false">SUM('UK Raw Data'!F31:F34)</f>
        <v>1513584</v>
      </c>
      <c r="E35" s="11" t="n">
        <f aca="false">100*B35/D35</f>
        <v>36.8945496252603</v>
      </c>
      <c r="F35" s="11" t="n">
        <f aca="false">100*C35/D35</f>
        <v>34.3877842260489</v>
      </c>
      <c r="G35" s="11" t="n">
        <f aca="false">100*4*'UK Raw Data'!D34/'UK Raw Data'!E33</f>
        <v>8.7085201793722</v>
      </c>
      <c r="H35" s="11" t="n">
        <f aca="false">100*'UK Raw Data'!E34/D35</f>
        <v>36.416875442658</v>
      </c>
      <c r="I35" s="11" t="n">
        <f aca="false">H34</f>
        <v>35.8195290053187</v>
      </c>
      <c r="J35" s="11" t="n">
        <f aca="false">G35*I35/100</f>
        <v>3.11935091158426</v>
      </c>
    </row>
    <row r="36" customFormat="false" ht="15" hidden="false" customHeight="false" outlineLevel="0" collapsed="false">
      <c r="A36" s="0" t="str">
        <f aca="false">'UK Raw Data'!A35</f>
        <v>2007-Q3</v>
      </c>
      <c r="B36" s="10" t="n">
        <f aca="false">SUM('UK Raw Data'!B32:B35)</f>
        <v>566594</v>
      </c>
      <c r="C36" s="10" t="n">
        <f aca="false">SUM('UK Raw Data'!C32:C35)-SUM('UK Raw Data'!D32:D35)</f>
        <v>526935</v>
      </c>
      <c r="D36" s="10" t="n">
        <f aca="false">SUM('UK Raw Data'!F32:F35)</f>
        <v>1531896</v>
      </c>
      <c r="E36" s="11" t="n">
        <f aca="false">100*B36/D36</f>
        <v>36.9864533884807</v>
      </c>
      <c r="F36" s="11" t="n">
        <f aca="false">100*C36/D36</f>
        <v>34.3975700700309</v>
      </c>
      <c r="G36" s="11" t="n">
        <f aca="false">100*4*'UK Raw Data'!D35/'UK Raw Data'!E34</f>
        <v>7.96952104499274</v>
      </c>
      <c r="H36" s="11" t="n">
        <f aca="false">100*'UK Raw Data'!E35/D36</f>
        <v>36.0990563328059</v>
      </c>
      <c r="I36" s="11" t="n">
        <f aca="false">H35</f>
        <v>36.416875442658</v>
      </c>
      <c r="J36" s="11" t="n">
        <f aca="false">G36*I36/100</f>
        <v>2.90225055233142</v>
      </c>
    </row>
    <row r="37" customFormat="false" ht="15" hidden="false" customHeight="false" outlineLevel="0" collapsed="false">
      <c r="A37" s="0" t="str">
        <f aca="false">'UK Raw Data'!A36</f>
        <v>2007-Q4</v>
      </c>
      <c r="B37" s="10" t="n">
        <f aca="false">SUM('UK Raw Data'!B33:B36)</f>
        <v>575815</v>
      </c>
      <c r="C37" s="10" t="n">
        <f aca="false">SUM('UK Raw Data'!C33:C36)-SUM('UK Raw Data'!D33:D36)</f>
        <v>534793</v>
      </c>
      <c r="D37" s="10" t="n">
        <f aca="false">SUM('UK Raw Data'!F33:F36)</f>
        <v>1551729</v>
      </c>
      <c r="E37" s="11" t="n">
        <f aca="false">100*B37/D37</f>
        <v>37.1079615061651</v>
      </c>
      <c r="F37" s="11" t="n">
        <f aca="false">100*C37/D37</f>
        <v>34.4643297895444</v>
      </c>
      <c r="G37" s="11" t="n">
        <f aca="false">100*4*'UK Raw Data'!D36/'UK Raw Data'!E35</f>
        <v>10.4354430379747</v>
      </c>
      <c r="H37" s="11" t="n">
        <f aca="false">100*'UK Raw Data'!E36/D37</f>
        <v>37.0361061757562</v>
      </c>
      <c r="I37" s="11" t="n">
        <f aca="false">H36</f>
        <v>36.0990563328059</v>
      </c>
      <c r="J37" s="11" t="n">
        <f aca="false">G37*I37/100</f>
        <v>3.76709646085635</v>
      </c>
    </row>
    <row r="38" customFormat="false" ht="15" hidden="false" customHeight="false" outlineLevel="0" collapsed="false">
      <c r="A38" s="0" t="str">
        <f aca="false">'UK Raw Data'!A37</f>
        <v>2008-Q1</v>
      </c>
      <c r="B38" s="10" t="n">
        <f aca="false">SUM('UK Raw Data'!B34:B37)</f>
        <v>587391</v>
      </c>
      <c r="C38" s="10" t="n">
        <f aca="false">SUM('UK Raw Data'!C34:C37)-SUM('UK Raw Data'!D34:D37)</f>
        <v>547522</v>
      </c>
      <c r="D38" s="10" t="n">
        <f aca="false">SUM('UK Raw Data'!F34:F37)</f>
        <v>1572773</v>
      </c>
      <c r="E38" s="11" t="n">
        <f aca="false">100*B38/D38</f>
        <v>37.3474748104145</v>
      </c>
      <c r="F38" s="11" t="n">
        <f aca="false">100*C38/D38</f>
        <v>34.8125253930478</v>
      </c>
      <c r="G38" s="11" t="n">
        <f aca="false">100*4*'UK Raw Data'!D37/'UK Raw Data'!E36</f>
        <v>8.64103010266226</v>
      </c>
      <c r="H38" s="11" t="n">
        <f aca="false">100*'UK Raw Data'!E37/D38</f>
        <v>36.0636913273562</v>
      </c>
      <c r="I38" s="11" t="n">
        <f aca="false">H37</f>
        <v>37.0361061757562</v>
      </c>
      <c r="J38" s="11" t="n">
        <f aca="false">G38*I38/100</f>
        <v>3.20030108350105</v>
      </c>
    </row>
    <row r="39" customFormat="false" ht="15" hidden="false" customHeight="false" outlineLevel="0" collapsed="false">
      <c r="A39" s="0" t="str">
        <f aca="false">'UK Raw Data'!A38</f>
        <v>2008-Q2</v>
      </c>
      <c r="B39" s="10" t="n">
        <f aca="false">SUM('UK Raw Data'!B35:B38)</f>
        <v>591869</v>
      </c>
      <c r="C39" s="10" t="n">
        <f aca="false">SUM('UK Raw Data'!C35:C38)-SUM('UK Raw Data'!D35:D38)</f>
        <v>557479</v>
      </c>
      <c r="D39" s="10" t="n">
        <f aca="false">SUM('UK Raw Data'!F35:F38)</f>
        <v>1587511</v>
      </c>
      <c r="E39" s="11" t="n">
        <f aca="false">100*B39/D39</f>
        <v>37.2828282764655</v>
      </c>
      <c r="F39" s="11" t="n">
        <f aca="false">100*C39/D39</f>
        <v>35.1165440743403</v>
      </c>
      <c r="G39" s="11" t="n">
        <f aca="false">100*4*'UK Raw Data'!D38/'UK Raw Data'!E37</f>
        <v>9.84837799717913</v>
      </c>
      <c r="H39" s="11" t="n">
        <f aca="false">100*'UK Raw Data'!E38/D39</f>
        <v>37.8013128727927</v>
      </c>
      <c r="I39" s="11" t="n">
        <f aca="false">H38</f>
        <v>36.0636913273562</v>
      </c>
      <c r="J39" s="11" t="n">
        <f aca="false">G39*I39/100</f>
        <v>3.55168864165395</v>
      </c>
    </row>
    <row r="40" customFormat="false" ht="15" hidden="false" customHeight="false" outlineLevel="0" collapsed="false">
      <c r="A40" s="0" t="str">
        <f aca="false">'UK Raw Data'!A39</f>
        <v>2008-Q3</v>
      </c>
      <c r="B40" s="10" t="n">
        <f aca="false">SUM('UK Raw Data'!B36:B39)</f>
        <v>594407</v>
      </c>
      <c r="C40" s="10" t="n">
        <f aca="false">SUM('UK Raw Data'!C36:C39)-SUM('UK Raw Data'!D36:D39)</f>
        <v>570648</v>
      </c>
      <c r="D40" s="10" t="n">
        <f aca="false">SUM('UK Raw Data'!F36:F39)</f>
        <v>1598754</v>
      </c>
      <c r="E40" s="11" t="n">
        <f aca="false">100*B40/D40</f>
        <v>37.1793909507029</v>
      </c>
      <c r="F40" s="11" t="n">
        <f aca="false">100*C40/D40</f>
        <v>35.6932961543802</v>
      </c>
      <c r="G40" s="11" t="n">
        <f aca="false">100*4*'UK Raw Data'!D39/'UK Raw Data'!E38</f>
        <v>8.91384769205133</v>
      </c>
      <c r="H40" s="11" t="n">
        <f aca="false">100*'UK Raw Data'!E39/D40</f>
        <v>42.608181121048</v>
      </c>
      <c r="I40" s="11" t="n">
        <f aca="false">H39</f>
        <v>37.8013128727927</v>
      </c>
      <c r="J40" s="11" t="n">
        <f aca="false">G40*I40/100</f>
        <v>3.36955145507653</v>
      </c>
    </row>
    <row r="41" customFormat="false" ht="15" hidden="false" customHeight="false" outlineLevel="0" collapsed="false">
      <c r="A41" s="0" t="str">
        <f aca="false">'UK Raw Data'!A40</f>
        <v>2008-Q4</v>
      </c>
      <c r="B41" s="10" t="n">
        <f aca="false">SUM('UK Raw Data'!B37:B40)</f>
        <v>621924</v>
      </c>
      <c r="C41" s="10" t="n">
        <f aca="false">SUM('UK Raw Data'!C37:C40)-SUM('UK Raw Data'!D37:D40)</f>
        <v>584372</v>
      </c>
      <c r="D41" s="10" t="n">
        <f aca="false">SUM('UK Raw Data'!F37:F40)</f>
        <v>1602217</v>
      </c>
      <c r="E41" s="11" t="n">
        <f aca="false">100*B41/D41</f>
        <v>38.8164649357734</v>
      </c>
      <c r="F41" s="11" t="n">
        <f aca="false">100*C41/D41</f>
        <v>36.4727124977453</v>
      </c>
      <c r="G41" s="11" t="n">
        <f aca="false">100*4*'UK Raw Data'!D40/'UK Raw Data'!E39</f>
        <v>22.8302994715208</v>
      </c>
      <c r="H41" s="11" t="n">
        <f aca="false">100*'UK Raw Data'!E40/D41</f>
        <v>46.8038973497348</v>
      </c>
      <c r="I41" s="11" t="n">
        <f aca="false">H40</f>
        <v>42.608181121048</v>
      </c>
      <c r="J41" s="11" t="n">
        <f aca="false">G41*I41/100</f>
        <v>9.72757534930327</v>
      </c>
    </row>
    <row r="42" customFormat="false" ht="15" hidden="false" customHeight="false" outlineLevel="0" collapsed="false">
      <c r="A42" s="0" t="str">
        <f aca="false">'UK Raw Data'!A41</f>
        <v>2009-Q1</v>
      </c>
      <c r="B42" s="10" t="n">
        <f aca="false">SUM('UK Raw Data'!B38:B41)</f>
        <v>624738</v>
      </c>
      <c r="C42" s="10" t="n">
        <f aca="false">SUM('UK Raw Data'!C38:C41)-SUM('UK Raw Data'!D38:D41)</f>
        <v>598510</v>
      </c>
      <c r="D42" s="10" t="n">
        <f aca="false">SUM('UK Raw Data'!F38:F41)</f>
        <v>1592276</v>
      </c>
      <c r="E42" s="11" t="n">
        <f aca="false">100*B42/D42</f>
        <v>39.2355345430064</v>
      </c>
      <c r="F42" s="11" t="n">
        <f aca="false">100*C42/D42</f>
        <v>37.5883326759934</v>
      </c>
      <c r="G42" s="11" t="n">
        <f aca="false">100*4*'UK Raw Data'!D41/'UK Raw Data'!E40</f>
        <v>12.6566208827844</v>
      </c>
      <c r="H42" s="11" t="n">
        <f aca="false">100*'UK Raw Data'!E41/D42</f>
        <v>49.4386651560408</v>
      </c>
      <c r="I42" s="11" t="n">
        <f aca="false">H41</f>
        <v>46.8038973497348</v>
      </c>
      <c r="J42" s="11" t="n">
        <f aca="false">G42*I42/100</f>
        <v>5.92379184592349</v>
      </c>
    </row>
    <row r="43" customFormat="false" ht="15" hidden="false" customHeight="false" outlineLevel="0" collapsed="false">
      <c r="A43" s="0" t="str">
        <f aca="false">'UK Raw Data'!A42</f>
        <v>2009-Q2</v>
      </c>
      <c r="B43" s="10" t="n">
        <f aca="false">SUM('UK Raw Data'!B39:B42)</f>
        <v>633553</v>
      </c>
      <c r="C43" s="10" t="n">
        <f aca="false">SUM('UK Raw Data'!C39:C42)-SUM('UK Raw Data'!D39:D42)</f>
        <v>610536</v>
      </c>
      <c r="D43" s="10" t="n">
        <f aca="false">SUM('UK Raw Data'!F39:F42)</f>
        <v>1578740</v>
      </c>
      <c r="E43" s="11" t="n">
        <f aca="false">100*B43/D43</f>
        <v>40.1302937785829</v>
      </c>
      <c r="F43" s="11" t="n">
        <f aca="false">100*C43/D43</f>
        <v>38.6723589698114</v>
      </c>
      <c r="G43" s="11" t="n">
        <f aca="false">100*4*'UK Raw Data'!D42/'UK Raw Data'!E41</f>
        <v>12.8831300813008</v>
      </c>
      <c r="H43" s="11" t="n">
        <f aca="false">100*'UK Raw Data'!E42/D43</f>
        <v>53.8214018774466</v>
      </c>
      <c r="I43" s="11" t="n">
        <f aca="false">H42</f>
        <v>49.4386651560408</v>
      </c>
      <c r="J43" s="11" t="n">
        <f aca="false">G43*I43/100</f>
        <v>6.36924754251147</v>
      </c>
    </row>
    <row r="44" customFormat="false" ht="15" hidden="false" customHeight="false" outlineLevel="0" collapsed="false">
      <c r="A44" s="0" t="str">
        <f aca="false">'UK Raw Data'!A43</f>
        <v>2009-Q3</v>
      </c>
      <c r="B44" s="10" t="n">
        <f aca="false">SUM('UK Raw Data'!B40:B43)</f>
        <v>639689</v>
      </c>
      <c r="C44" s="10" t="n">
        <f aca="false">SUM('UK Raw Data'!C40:C43)-SUM('UK Raw Data'!D40:D43)</f>
        <v>619425</v>
      </c>
      <c r="D44" s="10" t="n">
        <f aca="false">SUM('UK Raw Data'!F40:F43)</f>
        <v>1567782</v>
      </c>
      <c r="E44" s="11" t="n">
        <f aca="false">100*B44/D44</f>
        <v>40.8021650969331</v>
      </c>
      <c r="F44" s="11" t="n">
        <f aca="false">100*C44/D44</f>
        <v>39.5096384573876</v>
      </c>
      <c r="G44" s="11" t="n">
        <f aca="false">100*4*'UK Raw Data'!D43/'UK Raw Data'!E42</f>
        <v>8.18029892903378</v>
      </c>
      <c r="H44" s="11" t="n">
        <f aca="false">100*'UK Raw Data'!E43/D44</f>
        <v>55.9707918575414</v>
      </c>
      <c r="I44" s="11" t="n">
        <f aca="false">H43</f>
        <v>53.8214018774466</v>
      </c>
      <c r="J44" s="11" t="n">
        <f aca="false">G44*I44/100</f>
        <v>4.40275156137173</v>
      </c>
    </row>
    <row r="45" customFormat="false" ht="15" hidden="false" customHeight="false" outlineLevel="0" collapsed="false">
      <c r="A45" s="0" t="str">
        <f aca="false">'UK Raw Data'!A44</f>
        <v>2009-Q4</v>
      </c>
      <c r="B45" s="10" t="n">
        <f aca="false">SUM('UK Raw Data'!B41:B44)</f>
        <v>618895</v>
      </c>
      <c r="C45" s="10" t="n">
        <f aca="false">SUM('UK Raw Data'!C41:C44)-SUM('UK Raw Data'!D41:D44)</f>
        <v>630802</v>
      </c>
      <c r="D45" s="10" t="n">
        <f aca="false">SUM('UK Raw Data'!F41:F44)</f>
        <v>1559405</v>
      </c>
      <c r="E45" s="11" t="n">
        <f aca="false">100*B45/D45</f>
        <v>39.6878937799994</v>
      </c>
      <c r="F45" s="11" t="n">
        <f aca="false">100*C45/D45</f>
        <v>40.4514542405597</v>
      </c>
      <c r="G45" s="11" t="n">
        <f aca="false">100*4*'UK Raw Data'!D44/'UK Raw Data'!E43</f>
        <v>10.0941310541311</v>
      </c>
      <c r="H45" s="11" t="n">
        <f aca="false">100*'UK Raw Data'!E44/D45</f>
        <v>61.4721640625751</v>
      </c>
      <c r="I45" s="11" t="n">
        <f aca="false">H44</f>
        <v>55.9707918575414</v>
      </c>
      <c r="J45" s="11" t="n">
        <f aca="false">G45*I45/100</f>
        <v>5.64976508213514</v>
      </c>
    </row>
    <row r="46" customFormat="false" ht="15" hidden="false" customHeight="false" outlineLevel="0" collapsed="false">
      <c r="A46" s="0" t="str">
        <f aca="false">'UK Raw Data'!A45</f>
        <v>2010-Q1</v>
      </c>
      <c r="B46" s="10" t="n">
        <f aca="false">SUM('UK Raw Data'!B42:B45)</f>
        <v>622096</v>
      </c>
      <c r="C46" s="10" t="n">
        <f aca="false">SUM('UK Raw Data'!C42:C45)-SUM('UK Raw Data'!D42:D45)</f>
        <v>636031</v>
      </c>
      <c r="D46" s="10" t="n">
        <f aca="false">SUM('UK Raw Data'!F42:F45)</f>
        <v>1567756</v>
      </c>
      <c r="E46" s="11" t="n">
        <f aca="false">100*B46/D46</f>
        <v>39.6806645932148</v>
      </c>
      <c r="F46" s="11" t="n">
        <f aca="false">100*C46/D46</f>
        <v>40.5695146438604</v>
      </c>
      <c r="G46" s="11" t="n">
        <f aca="false">100*4*'UK Raw Data'!D45/'UK Raw Data'!E44</f>
        <v>9.05862716461506</v>
      </c>
      <c r="H46" s="11" t="n">
        <f aca="false">100*'UK Raw Data'!E45/D46</f>
        <v>65.5650496633405</v>
      </c>
      <c r="I46" s="11" t="n">
        <f aca="false">H45</f>
        <v>61.4721640625751</v>
      </c>
      <c r="J46" s="11" t="n">
        <f aca="false">G46*I46/100</f>
        <v>5.56853415244917</v>
      </c>
    </row>
    <row r="47" customFormat="false" ht="15" hidden="false" customHeight="false" outlineLevel="0" collapsed="false">
      <c r="A47" s="0" t="str">
        <f aca="false">'UK Raw Data'!A46</f>
        <v>2010-Q2</v>
      </c>
      <c r="B47" s="10" t="n">
        <f aca="false">SUM('UK Raw Data'!B43:B46)</f>
        <v>630443</v>
      </c>
      <c r="C47" s="10" t="n">
        <f aca="false">SUM('UK Raw Data'!C43:C46)-SUM('UK Raw Data'!D43:D46)</f>
        <v>640065</v>
      </c>
      <c r="D47" s="10" t="n">
        <f aca="false">SUM('UK Raw Data'!F43:F46)</f>
        <v>1581542</v>
      </c>
      <c r="E47" s="11" t="n">
        <f aca="false">100*B47/D47</f>
        <v>39.8625518639404</v>
      </c>
      <c r="F47" s="11" t="n">
        <f aca="false">100*C47/D47</f>
        <v>40.4709454443828</v>
      </c>
      <c r="G47" s="11" t="n">
        <f aca="false">100*4*'UK Raw Data'!D46/'UK Raw Data'!E45</f>
        <v>9.39546648506664</v>
      </c>
      <c r="H47" s="11" t="n">
        <f aca="false">100*'UK Raw Data'!E46/D47</f>
        <v>67.535354736074</v>
      </c>
      <c r="I47" s="11" t="n">
        <f aca="false">H46</f>
        <v>65.5650496633405</v>
      </c>
      <c r="J47" s="11" t="n">
        <f aca="false">G47*I47/100</f>
        <v>6.16014226703645</v>
      </c>
    </row>
    <row r="48" customFormat="false" ht="15" hidden="false" customHeight="false" outlineLevel="0" collapsed="false">
      <c r="A48" s="0" t="str">
        <f aca="false">'UK Raw Data'!A47</f>
        <v>2010-Q3</v>
      </c>
      <c r="B48" s="10" t="n">
        <f aca="false">SUM('UK Raw Data'!B44:B47)</f>
        <v>638175</v>
      </c>
      <c r="C48" s="10" t="n">
        <f aca="false">SUM('UK Raw Data'!C44:C47)-SUM('UK Raw Data'!D44:D47)</f>
        <v>643724</v>
      </c>
      <c r="D48" s="10" t="n">
        <f aca="false">SUM('UK Raw Data'!F44:F47)</f>
        <v>1596540</v>
      </c>
      <c r="E48" s="11" t="n">
        <f aca="false">100*B48/D48</f>
        <v>39.972377766921</v>
      </c>
      <c r="F48" s="11" t="n">
        <f aca="false">100*C48/D48</f>
        <v>40.3199418743032</v>
      </c>
      <c r="G48" s="11" t="n">
        <f aca="false">100*4*'UK Raw Data'!D47/'UK Raw Data'!E46</f>
        <v>7.98090066473177</v>
      </c>
      <c r="H48" s="11" t="n">
        <f aca="false">100*'UK Raw Data'!E47/D48</f>
        <v>69.3311786738823</v>
      </c>
      <c r="I48" s="11" t="n">
        <f aca="false">H47</f>
        <v>67.535354736074</v>
      </c>
      <c r="J48" s="11" t="n">
        <f aca="false">G48*I48/100</f>
        <v>5.38992957506029</v>
      </c>
    </row>
    <row r="49" customFormat="false" ht="15" hidden="false" customHeight="false" outlineLevel="0" collapsed="false">
      <c r="A49" s="0" t="str">
        <f aca="false">'UK Raw Data'!A48</f>
        <v>2010-Q4</v>
      </c>
      <c r="B49" s="10" t="n">
        <f aca="false">SUM('UK Raw Data'!B45:B48)</f>
        <v>644168</v>
      </c>
      <c r="C49" s="10" t="n">
        <f aca="false">SUM('UK Raw Data'!C45:C48)-SUM('UK Raw Data'!D45:D48)</f>
        <v>644430</v>
      </c>
      <c r="D49" s="10" t="n">
        <f aca="false">SUM('UK Raw Data'!F45:F48)</f>
        <v>1615839</v>
      </c>
      <c r="E49" s="11" t="n">
        <f aca="false">100*B49/D49</f>
        <v>39.8658529717379</v>
      </c>
      <c r="F49" s="11" t="n">
        <f aca="false">100*C49/D49</f>
        <v>39.8820674584535</v>
      </c>
      <c r="G49" s="11" t="n">
        <f aca="false">100*4*'UK Raw Data'!D48/'UK Raw Data'!E47</f>
        <v>8.6963592013732</v>
      </c>
      <c r="H49" s="11" t="n">
        <f aca="false">100*'UK Raw Data'!E48/D49</f>
        <v>71.3251753423454</v>
      </c>
      <c r="I49" s="11" t="n">
        <f aca="false">H48</f>
        <v>69.3311786738823</v>
      </c>
      <c r="J49" s="11" t="n">
        <f aca="false">G49*I49/100</f>
        <v>6.02928833602666</v>
      </c>
    </row>
    <row r="50" customFormat="false" ht="15" hidden="false" customHeight="false" outlineLevel="0" collapsed="false">
      <c r="A50" s="0" t="str">
        <f aca="false">'UK Raw Data'!A49</f>
        <v>2011-Q1</v>
      </c>
      <c r="B50" s="10" t="n">
        <f aca="false">SUM('UK Raw Data'!B46:B49)</f>
        <v>656682</v>
      </c>
      <c r="C50" s="10" t="n">
        <f aca="false">SUM('UK Raw Data'!C46:C49)-SUM('UK Raw Data'!D46:D49)</f>
        <v>644865</v>
      </c>
      <c r="D50" s="10" t="n">
        <f aca="false">SUM('UK Raw Data'!F46:F49)</f>
        <v>1634234</v>
      </c>
      <c r="E50" s="11" t="n">
        <f aca="false">100*B50/D50</f>
        <v>40.1828624297377</v>
      </c>
      <c r="F50" s="11" t="n">
        <f aca="false">100*C50/D50</f>
        <v>39.4597713668912</v>
      </c>
      <c r="G50" s="11" t="n">
        <f aca="false">100*4*'UK Raw Data'!D49/'UK Raw Data'!E48</f>
        <v>8.00798264642083</v>
      </c>
      <c r="H50" s="11" t="n">
        <f aca="false">100*'UK Raw Data'!E49/D50</f>
        <v>71.513626567554</v>
      </c>
      <c r="I50" s="11" t="n">
        <f aca="false">H49</f>
        <v>71.3251753423454</v>
      </c>
      <c r="J50" s="11" t="n">
        <f aca="false">G50*I50/100</f>
        <v>5.71170766394424</v>
      </c>
    </row>
    <row r="51" customFormat="false" ht="15" hidden="false" customHeight="false" outlineLevel="0" collapsed="false">
      <c r="A51" s="0" t="str">
        <f aca="false">'UK Raw Data'!A50</f>
        <v>2011-Q2</v>
      </c>
      <c r="B51" s="10" t="n">
        <f aca="false">SUM('UK Raw Data'!B47:B50)</f>
        <v>664102</v>
      </c>
      <c r="C51" s="10" t="n">
        <f aca="false">SUM('UK Raw Data'!C47:C50)-SUM('UK Raw Data'!D47:D50)</f>
        <v>644120</v>
      </c>
      <c r="D51" s="10" t="n">
        <f aca="false">SUM('UK Raw Data'!F47:F50)</f>
        <v>1645337</v>
      </c>
      <c r="E51" s="11" t="n">
        <f aca="false">100*B51/D51</f>
        <v>40.362673421919</v>
      </c>
      <c r="F51" s="11" t="n">
        <f aca="false">100*C51/D51</f>
        <v>39.1482109744083</v>
      </c>
      <c r="G51" s="11" t="n">
        <f aca="false">100*4*'UK Raw Data'!D50/'UK Raw Data'!E49</f>
        <v>8.83237785573714</v>
      </c>
      <c r="H51" s="11" t="n">
        <f aca="false">100*'UK Raw Data'!E50/D51</f>
        <v>73.1096425838597</v>
      </c>
      <c r="I51" s="11" t="n">
        <f aca="false">H50</f>
        <v>71.513626567554</v>
      </c>
      <c r="J51" s="11" t="n">
        <f aca="false">G51*I51/100</f>
        <v>6.31635371678719</v>
      </c>
    </row>
    <row r="52" customFormat="false" ht="15" hidden="false" customHeight="false" outlineLevel="0" collapsed="false">
      <c r="A52" s="0" t="str">
        <f aca="false">'UK Raw Data'!A51</f>
        <v>2011-Q3</v>
      </c>
      <c r="B52" s="10" t="n">
        <f aca="false">SUM('UK Raw Data'!B48:B51)</f>
        <v>673295</v>
      </c>
      <c r="C52" s="10" t="n">
        <f aca="false">SUM('UK Raw Data'!C48:C51)-SUM('UK Raw Data'!D48:D51)</f>
        <v>642584</v>
      </c>
      <c r="D52" s="10" t="n">
        <f aca="false">SUM('UK Raw Data'!F48:F51)</f>
        <v>1657279</v>
      </c>
      <c r="E52" s="11" t="n">
        <f aca="false">100*B52/D52</f>
        <v>40.6265330098312</v>
      </c>
      <c r="F52" s="11" t="n">
        <f aca="false">100*C52/D52</f>
        <v>38.773435251397</v>
      </c>
      <c r="G52" s="11" t="n">
        <f aca="false">100*4*'UK Raw Data'!D51/'UK Raw Data'!E50</f>
        <v>7.5610607698063</v>
      </c>
      <c r="H52" s="11" t="n">
        <f aca="false">100*'UK Raw Data'!E51/D52</f>
        <v>73.5603359482622</v>
      </c>
      <c r="I52" s="11" t="n">
        <f aca="false">H51</f>
        <v>73.1096425838597</v>
      </c>
      <c r="J52" s="11" t="n">
        <f aca="false">G52*I52/100</f>
        <v>5.52786450435382</v>
      </c>
    </row>
    <row r="53" customFormat="false" ht="15" hidden="false" customHeight="false" outlineLevel="0" collapsed="false">
      <c r="A53" s="0" t="str">
        <f aca="false">'UK Raw Data'!A52</f>
        <v>2011-Q4</v>
      </c>
      <c r="B53" s="10" t="n">
        <f aca="false">SUM('UK Raw Data'!B49:B52)</f>
        <v>681905</v>
      </c>
      <c r="C53" s="10" t="n">
        <f aca="false">SUM('UK Raw Data'!C49:C52)-SUM('UK Raw Data'!D49:D52)</f>
        <v>640440</v>
      </c>
      <c r="D53" s="10" t="n">
        <f aca="false">SUM('UK Raw Data'!F49:F52)</f>
        <v>1669945</v>
      </c>
      <c r="E53" s="11" t="n">
        <f aca="false">100*B53/D53</f>
        <v>40.8339795622012</v>
      </c>
      <c r="F53" s="11" t="n">
        <f aca="false">100*C53/D53</f>
        <v>38.3509636544916</v>
      </c>
      <c r="G53" s="11" t="n">
        <f aca="false">100*4*'UK Raw Data'!D52/'UK Raw Data'!E51</f>
        <v>8.46427692560085</v>
      </c>
      <c r="H53" s="11" t="n">
        <f aca="false">100*'UK Raw Data'!E52/D53</f>
        <v>74.888693939022</v>
      </c>
      <c r="I53" s="11" t="n">
        <f aca="false">H52</f>
        <v>73.5603359482622</v>
      </c>
      <c r="J53" s="11" t="n">
        <f aca="false">G53*I53/100</f>
        <v>6.22635054206323</v>
      </c>
    </row>
    <row r="54" customFormat="false" ht="15" hidden="false" customHeight="false" outlineLevel="0" collapsed="false">
      <c r="A54" s="0" t="str">
        <f aca="false">'UK Raw Data'!A53</f>
        <v>2012-Q1</v>
      </c>
      <c r="B54" s="10" t="n">
        <f aca="false">SUM('UK Raw Data'!B50:B53)</f>
        <v>680608</v>
      </c>
      <c r="C54" s="10" t="n">
        <f aca="false">SUM('UK Raw Data'!C50:C53)-SUM('UK Raw Data'!D50:D53)</f>
        <v>642950</v>
      </c>
      <c r="D54" s="10" t="n">
        <f aca="false">SUM('UK Raw Data'!F50:F53)</f>
        <v>1680077</v>
      </c>
      <c r="E54" s="11" t="n">
        <f aca="false">100*B54/D54</f>
        <v>40.5105242200209</v>
      </c>
      <c r="F54" s="11" t="n">
        <f aca="false">100*C54/D54</f>
        <v>38.2690793338639</v>
      </c>
      <c r="G54" s="11" t="n">
        <f aca="false">100*4*'UK Raw Data'!D53/'UK Raw Data'!E52</f>
        <v>6.9502638733408</v>
      </c>
      <c r="H54" s="11" t="n">
        <f aca="false">100*'UK Raw Data'!E53/D54</f>
        <v>75.0620358471665</v>
      </c>
      <c r="I54" s="11" t="n">
        <f aca="false">H53</f>
        <v>74.888693939022</v>
      </c>
      <c r="J54" s="11" t="n">
        <f aca="false">G54*I54/100</f>
        <v>5.2049618400606</v>
      </c>
    </row>
    <row r="55" customFormat="false" ht="15" hidden="false" customHeight="false" outlineLevel="0" collapsed="false">
      <c r="A55" s="0" t="str">
        <f aca="false">'UK Raw Data'!A54</f>
        <v>2012-Q2</v>
      </c>
      <c r="B55" s="10" t="n">
        <f aca="false">SUM('UK Raw Data'!B51:B54)</f>
        <v>680002</v>
      </c>
      <c r="C55" s="10" t="n">
        <f aca="false">SUM('UK Raw Data'!C51:C54)-SUM('UK Raw Data'!D51:D54)</f>
        <v>656752</v>
      </c>
      <c r="D55" s="10" t="n">
        <f aca="false">SUM('UK Raw Data'!F51:F54)</f>
        <v>1692735</v>
      </c>
      <c r="E55" s="11" t="n">
        <f aca="false">100*B55/D55</f>
        <v>40.1717929859074</v>
      </c>
      <c r="F55" s="11" t="n">
        <f aca="false">100*C55/D55</f>
        <v>38.7982761625417</v>
      </c>
      <c r="G55" s="11" t="n">
        <f aca="false">100*4*'UK Raw Data'!D54/'UK Raw Data'!E53</f>
        <v>8.14939338672587</v>
      </c>
      <c r="H55" s="11" t="n">
        <f aca="false">100*'UK Raw Data'!E54/D55</f>
        <v>76.2139377988876</v>
      </c>
      <c r="I55" s="11" t="n">
        <f aca="false">H54</f>
        <v>75.0620358471665</v>
      </c>
      <c r="J55" s="11" t="n">
        <f aca="false">G55*I55/100</f>
        <v>6.11710058527079</v>
      </c>
    </row>
    <row r="56" customFormat="false" ht="15" hidden="false" customHeight="false" outlineLevel="0" collapsed="false">
      <c r="A56" s="0" t="str">
        <f aca="false">'UK Raw Data'!A55</f>
        <v>2012-Q3</v>
      </c>
      <c r="B56" s="10" t="n">
        <f aca="false">SUM('UK Raw Data'!B52:B55)</f>
        <v>681796</v>
      </c>
      <c r="C56" s="10" t="n">
        <f aca="false">SUM('UK Raw Data'!C52:C55)-SUM('UK Raw Data'!D52:D55)</f>
        <v>658660</v>
      </c>
      <c r="D56" s="10" t="n">
        <f aca="false">SUM('UK Raw Data'!F52:F55)</f>
        <v>1707903</v>
      </c>
      <c r="E56" s="11" t="n">
        <f aca="false">100*B56/D56</f>
        <v>39.9200657180179</v>
      </c>
      <c r="F56" s="11" t="n">
        <f aca="false">100*C56/D56</f>
        <v>38.5654220409473</v>
      </c>
      <c r="G56" s="11" t="n">
        <f aca="false">100*4*'UK Raw Data'!D55/'UK Raw Data'!E54</f>
        <v>6.32230059685296</v>
      </c>
      <c r="H56" s="11" t="n">
        <f aca="false">100*'UK Raw Data'!E55/D56</f>
        <v>76.6378418446481</v>
      </c>
      <c r="I56" s="11" t="n">
        <f aca="false">H55</f>
        <v>76.2139377988876</v>
      </c>
      <c r="J56" s="11" t="n">
        <f aca="false">G56*I56/100</f>
        <v>4.81847424434421</v>
      </c>
    </row>
    <row r="57" customFormat="false" ht="15" hidden="false" customHeight="false" outlineLevel="0" collapsed="false">
      <c r="A57" s="0" t="str">
        <f aca="false">'UK Raw Data'!A56</f>
        <v>2012-Q4</v>
      </c>
      <c r="B57" s="10" t="n">
        <f aca="false">SUM('UK Raw Data'!B53:B56)</f>
        <v>684165</v>
      </c>
      <c r="C57" s="10" t="n">
        <f aca="false">SUM('UK Raw Data'!C53:C56)-SUM('UK Raw Data'!D53:D56)</f>
        <v>662843</v>
      </c>
      <c r="D57" s="10" t="n">
        <f aca="false">SUM('UK Raw Data'!F53:F56)</f>
        <v>1721708</v>
      </c>
      <c r="E57" s="11" t="n">
        <f aca="false">100*B57/D57</f>
        <v>39.7375745480651</v>
      </c>
      <c r="F57" s="11" t="n">
        <f aca="false">100*C57/D57</f>
        <v>38.4991531665068</v>
      </c>
      <c r="G57" s="11" t="n">
        <f aca="false">100*4*'UK Raw Data'!D56/'UK Raw Data'!E55</f>
        <v>7.49239819695928</v>
      </c>
      <c r="H57" s="11" t="n">
        <f aca="false">100*'UK Raw Data'!E56/D57</f>
        <v>78.6602606249143</v>
      </c>
      <c r="I57" s="11" t="n">
        <f aca="false">H56</f>
        <v>76.6378418446481</v>
      </c>
      <c r="J57" s="11" t="n">
        <f aca="false">G57*I57/100</f>
        <v>5.74201228055692</v>
      </c>
    </row>
    <row r="58" customFormat="false" ht="15" hidden="false" customHeight="false" outlineLevel="0" collapsed="false">
      <c r="A58" s="0" t="str">
        <f aca="false">'UK Raw Data'!A57</f>
        <v>2013-Q1</v>
      </c>
      <c r="B58" s="10" t="n">
        <f aca="false">SUM('UK Raw Data'!B54:B57)</f>
        <v>685042</v>
      </c>
      <c r="C58" s="10" t="n">
        <f aca="false">SUM('UK Raw Data'!C54:C57)-SUM('UK Raw Data'!D54:D57)</f>
        <v>659060</v>
      </c>
      <c r="D58" s="10" t="n">
        <f aca="false">SUM('UK Raw Data'!F54:F57)</f>
        <v>1735093</v>
      </c>
      <c r="E58" s="11" t="n">
        <f aca="false">100*B58/D58</f>
        <v>39.4815724574994</v>
      </c>
      <c r="F58" s="11" t="n">
        <f aca="false">100*C58/D58</f>
        <v>37.9841311099751</v>
      </c>
      <c r="G58" s="11" t="n">
        <f aca="false">100*4*'UK Raw Data'!D57/'UK Raw Data'!E56</f>
        <v>6.1785424204386</v>
      </c>
      <c r="H58" s="11" t="n">
        <f aca="false">100*'UK Raw Data'!E57/D58</f>
        <v>78.7392952423876</v>
      </c>
      <c r="I58" s="11" t="n">
        <f aca="false">H57</f>
        <v>78.6602606249143</v>
      </c>
      <c r="J58" s="11" t="n">
        <f aca="false">G58*I58/100</f>
        <v>4.8600575707379</v>
      </c>
    </row>
    <row r="59" customFormat="false" ht="15" hidden="false" customHeight="false" outlineLevel="0" collapsed="false">
      <c r="A59" s="0" t="str">
        <f aca="false">'UK Raw Data'!A58</f>
        <v>2013-Q2</v>
      </c>
      <c r="B59" s="10" t="n">
        <f aca="false">SUM('UK Raw Data'!B55:B58)</f>
        <v>690898</v>
      </c>
      <c r="C59" s="10" t="n">
        <f aca="false">SUM('UK Raw Data'!C55:C58)-SUM('UK Raw Data'!D55:D58)</f>
        <v>652873</v>
      </c>
      <c r="D59" s="10" t="n">
        <f aca="false">SUM('UK Raw Data'!F55:F58)</f>
        <v>1752021</v>
      </c>
      <c r="E59" s="11" t="n">
        <f aca="false">100*B59/D59</f>
        <v>39.4343446796585</v>
      </c>
      <c r="F59" s="11" t="n">
        <f aca="false">100*C59/D59</f>
        <v>37.2639939818073</v>
      </c>
      <c r="G59" s="11" t="n">
        <f aca="false">100*4*'UK Raw Data'!D58/'UK Raw Data'!E57</f>
        <v>7.16556873078612</v>
      </c>
      <c r="H59" s="11" t="n">
        <f aca="false">100*'UK Raw Data'!E58/D59</f>
        <v>79.7764410358095</v>
      </c>
      <c r="I59" s="11" t="n">
        <f aca="false">H58</f>
        <v>78.7392952423876</v>
      </c>
      <c r="J59" s="11" t="n">
        <f aca="false">G59*I59/100</f>
        <v>5.64211831872989</v>
      </c>
    </row>
    <row r="60" customFormat="false" ht="15" hidden="false" customHeight="false" outlineLevel="0" collapsed="false">
      <c r="A60" s="0" t="str">
        <f aca="false">'UK Raw Data'!A59</f>
        <v>2013-Q3</v>
      </c>
      <c r="B60" s="10" t="n">
        <f aca="false">SUM('UK Raw Data'!B56:B59)</f>
        <v>693206</v>
      </c>
      <c r="C60" s="10" t="n">
        <f aca="false">SUM('UK Raw Data'!C56:C59)-SUM('UK Raw Data'!D56:D59)</f>
        <v>655353</v>
      </c>
      <c r="D60" s="10" t="n">
        <f aca="false">SUM('UK Raw Data'!F56:F59)</f>
        <v>1769459</v>
      </c>
      <c r="E60" s="11" t="n">
        <f aca="false">100*B60/D60</f>
        <v>39.1761549716608</v>
      </c>
      <c r="F60" s="11" t="n">
        <f aca="false">100*C60/D60</f>
        <v>37.0369135425008</v>
      </c>
      <c r="G60" s="11" t="n">
        <f aca="false">100*4*'UK Raw Data'!D59/'UK Raw Data'!E58</f>
        <v>5.56571510338413</v>
      </c>
      <c r="H60" s="11" t="n">
        <f aca="false">100*'UK Raw Data'!E59/D60</f>
        <v>79.9905507841662</v>
      </c>
      <c r="I60" s="11" t="n">
        <f aca="false">H59</f>
        <v>79.7764410358095</v>
      </c>
      <c r="J60" s="11" t="n">
        <f aca="false">G60*I60/100</f>
        <v>4.44012942767239</v>
      </c>
    </row>
    <row r="61" customFormat="false" ht="15" hidden="false" customHeight="false" outlineLevel="0" collapsed="false">
      <c r="A61" s="0" t="str">
        <f aca="false">'UK Raw Data'!A60</f>
        <v>2013-Q4</v>
      </c>
      <c r="B61" s="10" t="n">
        <f aca="false">SUM('UK Raw Data'!B57:B60)</f>
        <v>697369</v>
      </c>
      <c r="C61" s="10" t="n">
        <f aca="false">SUM('UK Raw Data'!C57:C60)-SUM('UK Raw Data'!D57:D60)</f>
        <v>657496</v>
      </c>
      <c r="D61" s="10" t="n">
        <f aca="false">SUM('UK Raw Data'!F57:F60)</f>
        <v>1789072</v>
      </c>
      <c r="E61" s="11" t="n">
        <f aca="false">100*B61/D61</f>
        <v>38.9793703104179</v>
      </c>
      <c r="F61" s="11" t="n">
        <f aca="false">100*C61/D61</f>
        <v>36.7506729745924</v>
      </c>
      <c r="G61" s="11" t="n">
        <f aca="false">100*4*'UK Raw Data'!D60/'UK Raw Data'!E59</f>
        <v>6.41543026706231</v>
      </c>
      <c r="H61" s="11" t="n">
        <f aca="false">100*'UK Raw Data'!E60/D61</f>
        <v>81.1929313074041</v>
      </c>
      <c r="I61" s="11" t="n">
        <f aca="false">H60</f>
        <v>79.9905507841662</v>
      </c>
      <c r="J61" s="11" t="n">
        <f aca="false">G61*I61/100</f>
        <v>5.13173800579725</v>
      </c>
    </row>
    <row r="62" customFormat="false" ht="15" hidden="false" customHeight="false" outlineLevel="0" collapsed="false">
      <c r="A62" s="0" t="str">
        <f aca="false">'UK Raw Data'!A61</f>
        <v>2014-Q1</v>
      </c>
      <c r="B62" s="10" t="n">
        <f aca="false">SUM('UK Raw Data'!B58:B61)</f>
        <v>701078</v>
      </c>
      <c r="C62" s="10" t="n">
        <f aca="false">SUM('UK Raw Data'!C58:C61)-SUM('UK Raw Data'!D58:D61)</f>
        <v>663154</v>
      </c>
      <c r="D62" s="10" t="n">
        <f aca="false">SUM('UK Raw Data'!F58:F61)</f>
        <v>1809716</v>
      </c>
      <c r="E62" s="11" t="n">
        <f aca="false">100*B62/D62</f>
        <v>38.7396696498235</v>
      </c>
      <c r="F62" s="11" t="n">
        <f aca="false">100*C62/D62</f>
        <v>36.644092222205</v>
      </c>
      <c r="G62" s="11" t="n">
        <f aca="false">100*4*'UK Raw Data'!D61/'UK Raw Data'!E60</f>
        <v>4.84896048464822</v>
      </c>
      <c r="H62" s="11" t="n">
        <f aca="false">100*'UK Raw Data'!E61/D62</f>
        <v>80.7364249418141</v>
      </c>
      <c r="I62" s="11" t="n">
        <f aca="false">H61</f>
        <v>81.1929313074041</v>
      </c>
      <c r="J62" s="11" t="n">
        <f aca="false">G62*I62/100</f>
        <v>3.93701315542359</v>
      </c>
    </row>
    <row r="63" customFormat="false" ht="15" hidden="false" customHeight="false" outlineLevel="0" collapsed="false">
      <c r="A63" s="0" t="str">
        <f aca="false">'UK Raw Data'!A62</f>
        <v>2014-Q2</v>
      </c>
      <c r="B63" s="10" t="n">
        <f aca="false">SUM('UK Raw Data'!B59:B62)</f>
        <v>700257</v>
      </c>
      <c r="C63" s="10" t="n">
        <f aca="false">SUM('UK Raw Data'!C59:C62)-SUM('UK Raw Data'!D59:D62)</f>
        <v>667417</v>
      </c>
      <c r="D63" s="10" t="n">
        <f aca="false">SUM('UK Raw Data'!F59:F62)</f>
        <v>1830757</v>
      </c>
      <c r="E63" s="11" t="n">
        <f aca="false">100*B63/D63</f>
        <v>38.2495874657314</v>
      </c>
      <c r="F63" s="11" t="n">
        <f aca="false">100*C63/D63</f>
        <v>36.4557939693799</v>
      </c>
      <c r="G63" s="11" t="n">
        <f aca="false">100*4*'UK Raw Data'!D62/'UK Raw Data'!E61</f>
        <v>5.78906303469988</v>
      </c>
      <c r="H63" s="11" t="n">
        <f aca="false">100*'UK Raw Data'!E62/D63</f>
        <v>81.8186138302353</v>
      </c>
      <c r="I63" s="11" t="n">
        <f aca="false">H62</f>
        <v>80.7364249418141</v>
      </c>
      <c r="J63" s="11" t="n">
        <f aca="false">G63*I63/100</f>
        <v>4.67388253184478</v>
      </c>
    </row>
    <row r="64" customFormat="false" ht="15" hidden="false" customHeight="false" outlineLevel="0" collapsed="false">
      <c r="A64" s="0" t="str">
        <f aca="false">'UK Raw Data'!A63</f>
        <v>2014-Q3</v>
      </c>
      <c r="B64" s="10" t="n">
        <f aca="false">SUM('UK Raw Data'!B60:B63)</f>
        <v>701953</v>
      </c>
      <c r="C64" s="10" t="n">
        <f aca="false">SUM('UK Raw Data'!C60:C63)-SUM('UK Raw Data'!D60:D63)</f>
        <v>673681</v>
      </c>
      <c r="D64" s="10" t="n">
        <f aca="false">SUM('UK Raw Data'!F60:F63)</f>
        <v>1854147</v>
      </c>
      <c r="E64" s="11" t="n">
        <f aca="false">100*B64/D64</f>
        <v>37.8585408816022</v>
      </c>
      <c r="F64" s="11" t="n">
        <f aca="false">100*C64/D64</f>
        <v>36.3337426859898</v>
      </c>
      <c r="G64" s="11" t="n">
        <f aca="false">100*4*'UK Raw Data'!D63/'UK Raw Data'!E62</f>
        <v>4.24247279524668</v>
      </c>
      <c r="H64" s="11" t="n">
        <f aca="false">100*'UK Raw Data'!E63/D64</f>
        <v>81.6494053599849</v>
      </c>
      <c r="I64" s="11" t="n">
        <f aca="false">H63</f>
        <v>81.8186138302353</v>
      </c>
      <c r="J64" s="11" t="n">
        <f aca="false">G64*I64/100</f>
        <v>3.47113243319567</v>
      </c>
    </row>
    <row r="65" customFormat="false" ht="15" hidden="false" customHeight="false" outlineLevel="0" collapsed="false">
      <c r="A65" s="0" t="str">
        <f aca="false">'UK Raw Data'!A64</f>
        <v>2014-Q4</v>
      </c>
      <c r="B65" s="10" t="n">
        <f aca="false">SUM('UK Raw Data'!B61:B64)</f>
        <v>705243</v>
      </c>
      <c r="C65" s="10" t="n">
        <f aca="false">SUM('UK Raw Data'!C61:C64)-SUM('UK Raw Data'!D61:D64)</f>
        <v>680766</v>
      </c>
      <c r="D65" s="10" t="n">
        <f aca="false">SUM('UK Raw Data'!F61:F64)</f>
        <v>1875066</v>
      </c>
      <c r="E65" s="11" t="n">
        <f aca="false">100*B65/D65</f>
        <v>37.6116360704103</v>
      </c>
      <c r="F65" s="11" t="n">
        <f aca="false">100*C65/D65</f>
        <v>36.3062420202809</v>
      </c>
      <c r="G65" s="11" t="n">
        <f aca="false">100*4*'UK Raw Data'!D64/'UK Raw Data'!E63</f>
        <v>4.71233238655129</v>
      </c>
      <c r="H65" s="11" t="n">
        <f aca="false">100*'UK Raw Data'!E64/D65</f>
        <v>82.7064220672766</v>
      </c>
      <c r="I65" s="11" t="n">
        <f aca="false">H64</f>
        <v>81.6494053599849</v>
      </c>
      <c r="J65" s="11" t="n">
        <f aca="false">G65*I65/100</f>
        <v>3.84759137220512</v>
      </c>
    </row>
    <row r="66" customFormat="false" ht="15" hidden="false" customHeight="false" outlineLevel="0" collapsed="false">
      <c r="A66" s="0" t="str">
        <f aca="false">'UK Raw Data'!A65</f>
        <v>2015-Q1</v>
      </c>
      <c r="B66" s="10" t="n">
        <f aca="false">SUM('UK Raw Data'!B62:B65)</f>
        <v>712079</v>
      </c>
      <c r="C66" s="10" t="n">
        <f aca="false">SUM('UK Raw Data'!C62:C65)-SUM('UK Raw Data'!D62:D65)</f>
        <v>685959</v>
      </c>
      <c r="D66" s="10" t="n">
        <f aca="false">SUM('UK Raw Data'!F62:F65)</f>
        <v>1892400</v>
      </c>
      <c r="E66" s="11" t="n">
        <f aca="false">100*B66/D66</f>
        <v>37.6283555273727</v>
      </c>
      <c r="F66" s="11" t="n">
        <f aca="false">100*C66/D66</f>
        <v>36.248097653773</v>
      </c>
      <c r="G66" s="11" t="n">
        <f aca="false">100*4*'UK Raw Data'!D65/'UK Raw Data'!E64</f>
        <v>3.27805003868971</v>
      </c>
      <c r="H66" s="11" t="n">
        <f aca="false">100*'UK Raw Data'!E65/D66</f>
        <v>82.0069752694991</v>
      </c>
      <c r="I66" s="11" t="n">
        <f aca="false">H65</f>
        <v>82.7064220672766</v>
      </c>
      <c r="J66" s="11" t="n">
        <f aca="false">G66*I66/100</f>
        <v>2.71115790057523</v>
      </c>
    </row>
    <row r="67" customFormat="false" ht="15" hidden="false" customHeight="false" outlineLevel="0" collapsed="false">
      <c r="A67" s="0" t="str">
        <f aca="false">'UK Raw Data'!A66</f>
        <v>2015-Q2</v>
      </c>
      <c r="B67" s="10" t="n">
        <f aca="false">SUM('UK Raw Data'!B63:B66)</f>
        <v>717188</v>
      </c>
      <c r="C67" s="10" t="n">
        <f aca="false">SUM('UK Raw Data'!C63:C66)-SUM('UK Raw Data'!D63:D66)</f>
        <v>689999</v>
      </c>
      <c r="D67" s="10" t="n">
        <f aca="false">SUM('UK Raw Data'!F63:F66)</f>
        <v>1907115</v>
      </c>
      <c r="E67" s="11" t="n">
        <f aca="false">100*B67/D67</f>
        <v>37.6059125957271</v>
      </c>
      <c r="F67" s="11" t="n">
        <f aca="false">100*C67/D67</f>
        <v>36.1802513220231</v>
      </c>
      <c r="G67" s="11" t="n">
        <f aca="false">100*4*'UK Raw Data'!D66/'UK Raw Data'!E65</f>
        <v>4.82634190347316</v>
      </c>
      <c r="H67" s="11" t="n">
        <f aca="false">100*'UK Raw Data'!E66/D67</f>
        <v>82.7375381138526</v>
      </c>
      <c r="I67" s="11" t="n">
        <f aca="false">H66</f>
        <v>82.0069752694991</v>
      </c>
      <c r="J67" s="11" t="n">
        <f aca="false">G67*I67/100</f>
        <v>3.95793701120271</v>
      </c>
    </row>
    <row r="68" customFormat="false" ht="15" hidden="false" customHeight="false" outlineLevel="0" collapsed="false">
      <c r="A68" s="0" t="str">
        <f aca="false">'UK Raw Data'!A67</f>
        <v>2015-Q3</v>
      </c>
      <c r="B68" s="10" t="n">
        <f aca="false">SUM('UK Raw Data'!B64:B67)</f>
        <v>722180</v>
      </c>
      <c r="C68" s="10" t="n">
        <f aca="false">SUM('UK Raw Data'!C64:C67)-SUM('UK Raw Data'!D64:D67)</f>
        <v>692257</v>
      </c>
      <c r="D68" s="10" t="n">
        <f aca="false">SUM('UK Raw Data'!F64:F67)</f>
        <v>1915690</v>
      </c>
      <c r="E68" s="11" t="n">
        <f aca="false">100*B68/D68</f>
        <v>37.698166195992</v>
      </c>
      <c r="F68" s="11" t="n">
        <f aca="false">100*C68/D68</f>
        <v>36.1361702571919</v>
      </c>
      <c r="G68" s="11" t="n">
        <f aca="false">100*4*'UK Raw Data'!D67/'UK Raw Data'!E66</f>
        <v>4.0679383991381</v>
      </c>
      <c r="H68" s="11" t="n">
        <f aca="false">100*'UK Raw Data'!E67/D68</f>
        <v>82.6595117164051</v>
      </c>
      <c r="I68" s="11" t="n">
        <f aca="false">H67</f>
        <v>82.7375381138526</v>
      </c>
      <c r="J68" s="11" t="n">
        <f aca="false">G68*I68/100</f>
        <v>3.36571208343493</v>
      </c>
    </row>
    <row r="69" customFormat="false" ht="15" hidden="false" customHeight="false" outlineLevel="0" collapsed="false">
      <c r="A69" s="0" t="str">
        <f aca="false">'UK Raw Data'!A68</f>
        <v>2015-Q4</v>
      </c>
      <c r="B69" s="10" t="n">
        <f aca="false">SUM('UK Raw Data'!B65:B68)</f>
        <v>724994</v>
      </c>
      <c r="C69" s="10" t="n">
        <f aca="false">SUM('UK Raw Data'!C65:C68)-SUM('UK Raw Data'!D65:D68)</f>
        <v>690744</v>
      </c>
      <c r="D69" s="10" t="n">
        <f aca="false">SUM('UK Raw Data'!F65:F68)</f>
        <v>1928016</v>
      </c>
      <c r="E69" s="11" t="n">
        <f aca="false">100*B69/D69</f>
        <v>37.6031111775006</v>
      </c>
      <c r="F69" s="11" t="n">
        <f aca="false">100*C69/D69</f>
        <v>35.8266736375632</v>
      </c>
      <c r="G69" s="11" t="n">
        <f aca="false">100*4*'UK Raw Data'!D68/'UK Raw Data'!E67</f>
        <v>4.3357120303126</v>
      </c>
      <c r="H69" s="11" t="n">
        <f aca="false">100*'UK Raw Data'!E68/D69</f>
        <v>83.1372768690716</v>
      </c>
      <c r="I69" s="11" t="n">
        <f aca="false">H68</f>
        <v>82.6595117164051</v>
      </c>
      <c r="J69" s="11" t="n">
        <f aca="false">G69*I69/100</f>
        <v>3.58387839368583</v>
      </c>
    </row>
    <row r="70" customFormat="false" ht="15" hidden="false" customHeight="false" outlineLevel="0" collapsed="false">
      <c r="A70" s="0" t="str">
        <f aca="false">'UK Raw Data'!A69</f>
        <v>2016-Q1</v>
      </c>
      <c r="B70" s="10" t="n">
        <f aca="false">SUM('UK Raw Data'!B66:B69)</f>
        <v>733490</v>
      </c>
      <c r="C70" s="10" t="n">
        <f aca="false">SUM('UK Raw Data'!C66:C69)-SUM('UK Raw Data'!D66:D69)</f>
        <v>691432</v>
      </c>
      <c r="D70" s="10" t="n">
        <f aca="false">SUM('UK Raw Data'!F66:F69)</f>
        <v>1942644</v>
      </c>
      <c r="E70" s="11" t="n">
        <f aca="false">100*B70/D70</f>
        <v>37.7573039630524</v>
      </c>
      <c r="F70" s="11" t="n">
        <f aca="false">100*C70/D70</f>
        <v>35.5923164511871</v>
      </c>
      <c r="G70" s="11" t="n">
        <f aca="false">100*4*'UK Raw Data'!D69/'UK Raw Data'!E68</f>
        <v>3.74521180360596</v>
      </c>
      <c r="H70" s="11" t="n">
        <f aca="false">100*'UK Raw Data'!E69/D70</f>
        <v>82.1045955923988</v>
      </c>
      <c r="I70" s="11" t="n">
        <f aca="false">H69</f>
        <v>83.1372768690716</v>
      </c>
      <c r="J70" s="11" t="n">
        <f aca="false">G70*I70/100</f>
        <v>3.11366710649704</v>
      </c>
    </row>
    <row r="71" customFormat="false" ht="15" hidden="false" customHeight="false" outlineLevel="0" collapsed="false">
      <c r="A71" s="0" t="str">
        <f aca="false">'UK Raw Data'!A70</f>
        <v>2016-Q2</v>
      </c>
      <c r="B71" s="10" t="n">
        <f aca="false">SUM('UK Raw Data'!B67:B70)</f>
        <v>740773</v>
      </c>
      <c r="C71" s="10" t="n">
        <f aca="false">SUM('UK Raw Data'!C67:C70)-SUM('UK Raw Data'!D67:D70)</f>
        <v>695046</v>
      </c>
      <c r="D71" s="10" t="n">
        <f aca="false">SUM('UK Raw Data'!F67:F70)</f>
        <v>1960318</v>
      </c>
      <c r="E71" s="11" t="n">
        <f aca="false">100*B71/D71</f>
        <v>37.7884098396281</v>
      </c>
      <c r="F71" s="11" t="n">
        <f aca="false">100*C71/D71</f>
        <v>35.4557780931461</v>
      </c>
      <c r="G71" s="11" t="n">
        <f aca="false">100*4*'UK Raw Data'!D70/'UK Raw Data'!E69</f>
        <v>4.73780564263323</v>
      </c>
      <c r="H71" s="11" t="n">
        <f aca="false">100*'UK Raw Data'!E70/D71</f>
        <v>82.6396533623626</v>
      </c>
      <c r="I71" s="11" t="n">
        <f aca="false">H70</f>
        <v>82.1045955923988</v>
      </c>
      <c r="J71" s="11" t="n">
        <f aca="false">G71*I71/100</f>
        <v>3.88995616283786</v>
      </c>
    </row>
    <row r="72" customFormat="false" ht="15" hidden="false" customHeight="false" outlineLevel="0" collapsed="false">
      <c r="A72" s="0" t="str">
        <f aca="false">'UK Raw Data'!A71</f>
        <v>2016-Q3</v>
      </c>
      <c r="B72" s="10" t="n">
        <f aca="false">SUM('UK Raw Data'!B68:B71)</f>
        <v>750783</v>
      </c>
      <c r="C72" s="10" t="n">
        <f aca="false">SUM('UK Raw Data'!C68:C71)-SUM('UK Raw Data'!D68:D71)</f>
        <v>699946</v>
      </c>
      <c r="D72" s="10" t="n">
        <f aca="false">SUM('UK Raw Data'!F68:F71)</f>
        <v>1982001</v>
      </c>
      <c r="E72" s="11" t="n">
        <f aca="false">100*B72/D72</f>
        <v>37.8800515236874</v>
      </c>
      <c r="F72" s="11" t="n">
        <f aca="false">100*C72/D72</f>
        <v>35.3151184081138</v>
      </c>
      <c r="G72" s="11" t="n">
        <f aca="false">100*4*'UK Raw Data'!D71/'UK Raw Data'!E70</f>
        <v>4.29308641975309</v>
      </c>
      <c r="H72" s="11" t="n">
        <f aca="false">100*'UK Raw Data'!E71/D72</f>
        <v>82.1745296798539</v>
      </c>
      <c r="I72" s="11" t="n">
        <f aca="false">H71</f>
        <v>82.6396533623626</v>
      </c>
      <c r="J72" s="11" t="n">
        <f aca="false">G72*I72/100</f>
        <v>3.54779173583062</v>
      </c>
    </row>
    <row r="73" customFormat="false" ht="15" hidden="false" customHeight="false" outlineLevel="0" collapsed="false">
      <c r="A73" s="0" t="str">
        <f aca="false">'UK Raw Data'!A72</f>
        <v>2016-Q4</v>
      </c>
      <c r="B73" s="10" t="n">
        <f aca="false">SUM('UK Raw Data'!B69:B72)</f>
        <v>760784</v>
      </c>
      <c r="C73" s="10" t="n">
        <f aca="false">SUM('UK Raw Data'!C69:C72)-SUM('UK Raw Data'!D69:D72)</f>
        <v>702508</v>
      </c>
      <c r="D73" s="10" t="n">
        <f aca="false">SUM('UK Raw Data'!F69:F72)</f>
        <v>2004755</v>
      </c>
      <c r="E73" s="11" t="n">
        <f aca="false">100*B73/D73</f>
        <v>37.9489763088258</v>
      </c>
      <c r="F73" s="11" t="n">
        <f aca="false">100*C73/D73</f>
        <v>35.0420874371183</v>
      </c>
      <c r="G73" s="11" t="n">
        <f aca="false">100*4*'UK Raw Data'!D72/'UK Raw Data'!E71</f>
        <v>4.20605390802481</v>
      </c>
      <c r="H73" s="11" t="n">
        <f aca="false">100*'UK Raw Data'!E72/D73</f>
        <v>84.3295065980631</v>
      </c>
      <c r="I73" s="11" t="n">
        <f aca="false">H72</f>
        <v>82.1745296798539</v>
      </c>
      <c r="J73" s="11" t="n">
        <f aca="false">G73*I73/100</f>
        <v>3.4563050170005</v>
      </c>
    </row>
    <row r="74" customFormat="false" ht="15" hidden="false" customHeight="false" outlineLevel="0" collapsed="false">
      <c r="A74" s="0" t="str">
        <f aca="false">'UK Raw Data'!A73</f>
        <v>2017-Q1</v>
      </c>
      <c r="B74" s="10" t="n">
        <f aca="false">SUM('UK Raw Data'!B70:B73)</f>
        <v>778103</v>
      </c>
      <c r="C74" s="10" t="n">
        <f aca="false">SUM('UK Raw Data'!C70:C73)-SUM('UK Raw Data'!D70:D73)</f>
        <v>705566</v>
      </c>
      <c r="D74" s="10" t="n">
        <f aca="false">SUM('UK Raw Data'!F70:F73)</f>
        <v>2029417</v>
      </c>
      <c r="E74" s="11" t="n">
        <f aca="false">100*B74/D74</f>
        <v>38.3412083371727</v>
      </c>
      <c r="F74" s="11" t="n">
        <f aca="false">100*C74/D74</f>
        <v>34.7669306012515</v>
      </c>
      <c r="G74" s="11" t="n">
        <f aca="false">100*4*'UK Raw Data'!D73/'UK Raw Data'!E72</f>
        <v>3.65148467999527</v>
      </c>
      <c r="H74" s="11" t="n">
        <f aca="false">100*'UK Raw Data'!E73/D74</f>
        <v>84.4823907555717</v>
      </c>
      <c r="I74" s="11" t="n">
        <f aca="false">H73</f>
        <v>84.3295065980631</v>
      </c>
      <c r="J74" s="11" t="n">
        <f aca="false">G74*I74/100</f>
        <v>3.07927901414387</v>
      </c>
    </row>
    <row r="75" customFormat="false" ht="15" hidden="false" customHeight="false" outlineLevel="0" collapsed="false">
      <c r="A75" s="0" t="str">
        <f aca="false">'UK Raw Data'!A74</f>
        <v>2017-Q2</v>
      </c>
      <c r="B75" s="10" t="n">
        <f aca="false">SUM('UK Raw Data'!B71:B74)</f>
        <v>788856</v>
      </c>
      <c r="C75" s="10" t="n">
        <f aca="false">SUM('UK Raw Data'!C71:C74)-SUM('UK Raw Data'!D71:D74)</f>
        <v>712822</v>
      </c>
      <c r="D75" s="10" t="n">
        <f aca="false">SUM('UK Raw Data'!F71:F74)</f>
        <v>2053977</v>
      </c>
      <c r="E75" s="11" t="n">
        <f aca="false">100*B75/D75</f>
        <v>38.406272319505</v>
      </c>
      <c r="F75" s="11" t="n">
        <f aca="false">100*C75/D75</f>
        <v>34.7044781903595</v>
      </c>
      <c r="G75" s="11" t="n">
        <f aca="false">100*4*'UK Raw Data'!D74/'UK Raw Data'!E73</f>
        <v>4.95234762321377</v>
      </c>
      <c r="H75" s="11" t="n">
        <f aca="false">100*'UK Raw Data'!E74/D75</f>
        <v>85.2054331669732</v>
      </c>
      <c r="I75" s="11" t="n">
        <f aca="false">H74</f>
        <v>84.4823907555717</v>
      </c>
      <c r="J75" s="11" t="n">
        <f aca="false">G75*I75/100</f>
        <v>4.18386167061772</v>
      </c>
    </row>
    <row r="76" customFormat="false" ht="15" hidden="false" customHeight="false" outlineLevel="0" collapsed="false">
      <c r="A76" s="0" t="str">
        <f aca="false">'UK Raw Data'!A75</f>
        <v>2017-Q3</v>
      </c>
      <c r="B76" s="10" t="n">
        <f aca="false">SUM('UK Raw Data'!B72:B75)</f>
        <v>796673</v>
      </c>
      <c r="C76" s="10" t="n">
        <f aca="false">SUM('UK Raw Data'!C72:C75)-SUM('UK Raw Data'!D72:D75)</f>
        <v>716175</v>
      </c>
      <c r="D76" s="10" t="n">
        <f aca="false">SUM('UK Raw Data'!F72:F75)</f>
        <v>2074765</v>
      </c>
      <c r="E76" s="11" t="n">
        <f aca="false">100*B76/D76</f>
        <v>38.398228233077</v>
      </c>
      <c r="F76" s="11" t="n">
        <f aca="false">100*C76/D76</f>
        <v>34.5183671403749</v>
      </c>
      <c r="G76" s="11" t="n">
        <f aca="false">100*4*'UK Raw Data'!D75/'UK Raw Data'!E74</f>
        <v>4.01599908576653</v>
      </c>
      <c r="H76" s="11" t="n">
        <f aca="false">100*'UK Raw Data'!E75/D76</f>
        <v>85.4795603357489</v>
      </c>
      <c r="I76" s="11" t="n">
        <f aca="false">H75</f>
        <v>85.2054331669732</v>
      </c>
      <c r="J76" s="11" t="n">
        <f aca="false">G76*I76/100</f>
        <v>3.42184941700905</v>
      </c>
    </row>
    <row r="77" customFormat="false" ht="15" hidden="false" customHeight="false" outlineLevel="0" collapsed="false">
      <c r="A77" s="0" t="str">
        <f aca="false">'UK Raw Data'!A76</f>
        <v>2017-Q4</v>
      </c>
      <c r="B77" s="10" t="n">
        <f aca="false">SUM('UK Raw Data'!B73:B76)</f>
        <v>805827</v>
      </c>
      <c r="C77" s="10" t="n">
        <f aca="false">SUM('UK Raw Data'!C73:C76)-SUM('UK Raw Data'!D73:D76)</f>
        <v>721525</v>
      </c>
      <c r="D77" s="10" t="n">
        <f aca="false">SUM('UK Raw Data'!F73:F76)</f>
        <v>2097222</v>
      </c>
      <c r="E77" s="11" t="n">
        <f aca="false">100*B77/D77</f>
        <v>38.4235431442165</v>
      </c>
      <c r="F77" s="11" t="n">
        <f aca="false">100*C77/D77</f>
        <v>34.4038447050432</v>
      </c>
      <c r="G77" s="11" t="n">
        <f aca="false">100*4*'UK Raw Data'!D76/'UK Raw Data'!E75</f>
        <v>4.2523822948971</v>
      </c>
      <c r="H77" s="11" t="n">
        <f aca="false">100*'UK Raw Data'!E76/D77</f>
        <v>83.1862339799983</v>
      </c>
      <c r="I77" s="11" t="n">
        <f aca="false">H76</f>
        <v>85.4795603357489</v>
      </c>
      <c r="J77" s="11" t="n">
        <f aca="false">G77*I77/100</f>
        <v>3.63491768947327</v>
      </c>
    </row>
    <row r="78" customFormat="false" ht="15" hidden="false" customHeight="false" outlineLevel="0" collapsed="false">
      <c r="A78" s="0" t="str">
        <f aca="false">'UK Raw Data'!A77</f>
        <v>2018-Q1</v>
      </c>
      <c r="B78" s="10" t="n">
        <f aca="false">SUM('UK Raw Data'!B74:B77)</f>
        <v>804060</v>
      </c>
      <c r="C78" s="10" t="n">
        <f aca="false">SUM('UK Raw Data'!C74:C77)-SUM('UK Raw Data'!D74:D77)</f>
        <v>727205</v>
      </c>
      <c r="D78" s="10" t="n">
        <f aca="false">SUM('UK Raw Data'!F74:F77)</f>
        <v>2115079</v>
      </c>
      <c r="E78" s="11" t="n">
        <f aca="false">100*B78/D78</f>
        <v>38.015601308509</v>
      </c>
      <c r="F78" s="11" t="n">
        <f aca="false">100*C78/D78</f>
        <v>34.3819308876879</v>
      </c>
      <c r="G78" s="11" t="n">
        <f aca="false">100*4*'UK Raw Data'!D77/'UK Raw Data'!E76</f>
        <v>3.56918491344721</v>
      </c>
      <c r="H78" s="11" t="n">
        <f aca="false">100*'UK Raw Data'!E77/D78</f>
        <v>83.1080068404064</v>
      </c>
      <c r="I78" s="11" t="n">
        <f aca="false">H77</f>
        <v>83.1862339799983</v>
      </c>
      <c r="J78" s="11" t="n">
        <f aca="false">G78*I78/100</f>
        <v>2.96907051327899</v>
      </c>
    </row>
    <row r="79" customFormat="false" ht="15" hidden="false" customHeight="false" outlineLevel="0" collapsed="false">
      <c r="A79" s="0" t="str">
        <f aca="false">'UK Raw Data'!A78</f>
        <v>2018-Q2</v>
      </c>
      <c r="B79" s="10" t="n">
        <f aca="false">SUM('UK Raw Data'!B75:B78)</f>
        <v>807895</v>
      </c>
      <c r="C79" s="10" t="n">
        <f aca="false">SUM('UK Raw Data'!C75:C78)-SUM('UK Raw Data'!D75:D78)</f>
        <v>728244</v>
      </c>
      <c r="D79" s="10" t="n">
        <f aca="false">SUM('UK Raw Data'!F75:F78)</f>
        <v>2134182</v>
      </c>
      <c r="E79" s="11" t="n">
        <f aca="false">100*B79/D79</f>
        <v>37.8550189252838</v>
      </c>
      <c r="F79" s="11" t="n">
        <f aca="false">100*C79/D79</f>
        <v>34.1228629985634</v>
      </c>
      <c r="G79" s="11" t="n">
        <f aca="false">100*4*'UK Raw Data'!D78/'UK Raw Data'!E77</f>
        <v>4.41847764250768</v>
      </c>
      <c r="H79" s="11" t="n">
        <f aca="false">100*'UK Raw Data'!E78/D79</f>
        <v>83.3996350826687</v>
      </c>
      <c r="I79" s="11" t="n">
        <f aca="false">H78</f>
        <v>83.1080068404064</v>
      </c>
      <c r="J79" s="11" t="n">
        <f aca="false">G79*I79/100</f>
        <v>3.67210870137711</v>
      </c>
    </row>
    <row r="80" customFormat="false" ht="15" hidden="false" customHeight="false" outlineLevel="0" collapsed="false">
      <c r="A80" s="0" t="str">
        <f aca="false">'UK Raw Data'!A79</f>
        <v>2018-Q3</v>
      </c>
      <c r="B80" s="10" t="n">
        <f aca="false">SUM('UK Raw Data'!B76:B79)</f>
        <v>814874</v>
      </c>
      <c r="C80" s="10" t="n">
        <f aca="false">SUM('UK Raw Data'!C76:C79)-SUM('UK Raw Data'!D76:D79)</f>
        <v>733128</v>
      </c>
      <c r="D80" s="10" t="n">
        <f aca="false">SUM('UK Raw Data'!F76:F79)</f>
        <v>2154181</v>
      </c>
      <c r="E80" s="11" t="n">
        <f aca="false">100*B80/D80</f>
        <v>37.8275548804859</v>
      </c>
      <c r="F80" s="11" t="n">
        <f aca="false">100*C80/D80</f>
        <v>34.0327948301466</v>
      </c>
      <c r="G80" s="11" t="n">
        <f aca="false">100*4*'UK Raw Data'!D79/'UK Raw Data'!E78</f>
        <v>3.92111916399798</v>
      </c>
      <c r="H80" s="11" t="n">
        <f aca="false">100*'UK Raw Data'!E79/D80</f>
        <v>82.4303993025656</v>
      </c>
      <c r="I80" s="11" t="n">
        <f aca="false">H79</f>
        <v>83.3996350826687</v>
      </c>
      <c r="J80" s="11" t="n">
        <f aca="false">G80*I80/100</f>
        <v>3.2701990739309</v>
      </c>
    </row>
    <row r="81" customFormat="false" ht="15" hidden="false" customHeight="false" outlineLevel="0" collapsed="false">
      <c r="A81" s="0" t="str">
        <f aca="false">'UK Raw Data'!A80</f>
        <v>2018-Q4</v>
      </c>
      <c r="B81" s="10" t="n">
        <f aca="false">SUM('UK Raw Data'!B77:B80)</f>
        <v>820948</v>
      </c>
      <c r="C81" s="10" t="n">
        <f aca="false">SUM('UK Raw Data'!C77:C80)-SUM('UK Raw Data'!D77:D80)</f>
        <v>740111</v>
      </c>
      <c r="D81" s="10" t="n">
        <f aca="false">SUM('UK Raw Data'!F77:F80)</f>
        <v>2171559</v>
      </c>
      <c r="E81" s="11" t="n">
        <f aca="false">100*B81/D81</f>
        <v>37.8045450296308</v>
      </c>
      <c r="F81" s="11" t="n">
        <f aca="false">100*C81/D81</f>
        <v>34.0820120475658</v>
      </c>
      <c r="G81" s="11" t="n">
        <f aca="false">100*4*'UK Raw Data'!D80/'UK Raw Data'!E79</f>
        <v>4.34713070901616</v>
      </c>
      <c r="H81" s="11" t="n">
        <f aca="false">100*'UK Raw Data'!E80/D81</f>
        <v>82.8252881915711</v>
      </c>
      <c r="I81" s="11" t="n">
        <f aca="false">H80</f>
        <v>82.4303993025656</v>
      </c>
      <c r="J81" s="11" t="n">
        <f aca="false">G81*I81/100</f>
        <v>3.58335720164647</v>
      </c>
    </row>
    <row r="82" customFormat="false" ht="15" hidden="false" customHeight="false" outlineLevel="0" collapsed="false">
      <c r="A82" s="0" t="str">
        <f aca="false">'UK Raw Data'!A81</f>
        <v>2019-Q1</v>
      </c>
      <c r="B82" s="10" t="n">
        <f aca="false">SUM('UK Raw Data'!B78:B81)</f>
        <v>834713</v>
      </c>
      <c r="C82" s="10" t="n">
        <f aca="false">SUM('UK Raw Data'!C78:C81)-SUM('UK Raw Data'!D78:D81)</f>
        <v>749117</v>
      </c>
      <c r="D82" s="10" t="n">
        <f aca="false">SUM('UK Raw Data'!F78:F81)</f>
        <v>2190380</v>
      </c>
      <c r="E82" s="11" t="n">
        <f aca="false">100*B82/D82</f>
        <v>38.1081364877327</v>
      </c>
      <c r="F82" s="11" t="n">
        <f aca="false">100*C82/D82</f>
        <v>34.2003214054182</v>
      </c>
      <c r="G82" s="11" t="n">
        <f aca="false">100*4*'UK Raw Data'!D81/'UK Raw Data'!E80</f>
        <v>2.90181252084955</v>
      </c>
      <c r="H82" s="11" t="n">
        <f aca="false">100*'UK Raw Data'!E81/D82</f>
        <v>81.0818214191145</v>
      </c>
      <c r="I82" s="11" t="n">
        <f aca="false">H81</f>
        <v>82.8252881915711</v>
      </c>
      <c r="J82" s="11" t="n">
        <f aca="false">G82*I82/100</f>
        <v>2.40343458317273</v>
      </c>
    </row>
    <row r="83" customFormat="false" ht="15" hidden="false" customHeight="false" outlineLevel="0" collapsed="false">
      <c r="A83" s="0" t="str">
        <f aca="false">'UK Raw Data'!A82</f>
        <v>2019-Q2</v>
      </c>
      <c r="B83" s="10" t="n">
        <f aca="false">SUM('UK Raw Data'!B79:B82)</f>
        <v>839267</v>
      </c>
      <c r="C83" s="10" t="n">
        <f aca="false">SUM('UK Raw Data'!C79:C82)-SUM('UK Raw Data'!D79:D82)</f>
        <v>755648</v>
      </c>
      <c r="D83" s="10" t="n">
        <f aca="false">SUM('UK Raw Data'!F79:F82)</f>
        <v>2210656</v>
      </c>
      <c r="E83" s="11" t="n">
        <f aca="false">100*B83/D83</f>
        <v>37.9646132188816</v>
      </c>
      <c r="F83" s="11" t="n">
        <f aca="false">100*C83/D83</f>
        <v>34.1820708423201</v>
      </c>
      <c r="G83" s="11" t="n">
        <f aca="false">100*4*'UK Raw Data'!D82/'UK Raw Data'!E81</f>
        <v>4.86689189189189</v>
      </c>
      <c r="H83" s="11" t="n">
        <f aca="false">100*'UK Raw Data'!E82/D83</f>
        <v>81.817342906359</v>
      </c>
      <c r="I83" s="11" t="n">
        <f aca="false">H82</f>
        <v>81.0818214191145</v>
      </c>
      <c r="J83" s="11" t="n">
        <f aca="false">G83*I83/100</f>
        <v>3.94616459244515</v>
      </c>
    </row>
    <row r="84" customFormat="false" ht="15" hidden="false" customHeight="false" outlineLevel="0" collapsed="false">
      <c r="A84" s="0" t="str">
        <f aca="false">'UK Raw Data'!A83</f>
        <v>2019-Q3</v>
      </c>
      <c r="B84" s="10" t="n">
        <f aca="false">SUM('UK Raw Data'!B80:B83)</f>
        <v>844812</v>
      </c>
      <c r="C84" s="10" t="n">
        <f aca="false">SUM('UK Raw Data'!C80:C83)-SUM('UK Raw Data'!D80:D83)</f>
        <v>763327</v>
      </c>
      <c r="D84" s="10" t="n">
        <f aca="false">SUM('UK Raw Data'!F80:F83)</f>
        <v>2232947</v>
      </c>
      <c r="E84" s="11" t="n">
        <f aca="false">100*B84/D84</f>
        <v>37.8339476933398</v>
      </c>
      <c r="F84" s="11" t="n">
        <f aca="false">100*C84/D84</f>
        <v>34.184734344344</v>
      </c>
      <c r="G84" s="11" t="n">
        <f aca="false">100*4*'UK Raw Data'!D83/'UK Raw Data'!E82</f>
        <v>3.37922264609941</v>
      </c>
      <c r="H84" s="11" t="n">
        <f aca="false">100*'UK Raw Data'!E83/D84</f>
        <v>80.9692303489514</v>
      </c>
      <c r="I84" s="11" t="n">
        <f aca="false">H83</f>
        <v>81.817342906359</v>
      </c>
      <c r="J84" s="11" t="n">
        <f aca="false">G84*I84/100</f>
        <v>2.76479017992849</v>
      </c>
    </row>
    <row r="85" customFormat="false" ht="15" hidden="false" customHeight="false" outlineLevel="0" collapsed="false">
      <c r="A85" s="0" t="str">
        <f aca="false">'UK Raw Data'!A84</f>
        <v>2019-Q4</v>
      </c>
      <c r="B85" s="10" t="n">
        <f aca="false">SUM('UK Raw Data'!B81:B84)</f>
        <v>845885</v>
      </c>
      <c r="C85" s="10" t="n">
        <f aca="false">SUM('UK Raw Data'!C81:C84)-SUM('UK Raw Data'!D81:D84)</f>
        <v>769621</v>
      </c>
      <c r="D85" s="10" t="n">
        <f aca="false">SUM('UK Raw Data'!F81:F84)</f>
        <v>2252961</v>
      </c>
      <c r="E85" s="11" t="n">
        <f aca="false">100*B85/D85</f>
        <v>37.5454790384743</v>
      </c>
      <c r="F85" s="11" t="n">
        <f aca="false">100*C85/D85</f>
        <v>34.1604226615552</v>
      </c>
      <c r="G85" s="11" t="n">
        <f aca="false">100*4*'UK Raw Data'!D84/'UK Raw Data'!E83</f>
        <v>3.57676991150443</v>
      </c>
      <c r="H85" s="11" t="n">
        <f aca="false">100*'UK Raw Data'!E84/D85</f>
        <v>81.5593345823563</v>
      </c>
      <c r="I85" s="11" t="n">
        <f aca="false">H84</f>
        <v>80.9692303489514</v>
      </c>
      <c r="J85" s="11" t="n">
        <f aca="false">G85*I85/100</f>
        <v>2.896083068698</v>
      </c>
    </row>
    <row r="86" customFormat="false" ht="15" hidden="false" customHeight="false" outlineLevel="0" collapsed="false">
      <c r="A86" s="0" t="str">
        <f aca="false">'UK Raw Data'!A85</f>
        <v>2020-Q1</v>
      </c>
      <c r="B86" s="10" t="n">
        <f aca="false">SUM('UK Raw Data'!B82:B85)</f>
        <v>846534</v>
      </c>
      <c r="C86" s="10" t="n">
        <f aca="false">SUM('UK Raw Data'!C82:C85)-SUM('UK Raw Data'!D82:D85)</f>
        <v>777474</v>
      </c>
      <c r="D86" s="10" t="n">
        <f aca="false">SUM('UK Raw Data'!F82:F85)</f>
        <v>2258342</v>
      </c>
      <c r="E86" s="11" t="n">
        <f aca="false">100*B86/D86</f>
        <v>37.4847565160636</v>
      </c>
      <c r="F86" s="11" t="n">
        <f aca="false">100*C86/D86</f>
        <v>34.4267608714712</v>
      </c>
      <c r="G86" s="11" t="n">
        <f aca="false">100*4*'UK Raw Data'!D85/'UK Raw Data'!E84</f>
        <v>3.02171428571429</v>
      </c>
      <c r="H86" s="11" t="n">
        <f aca="false">100*'UK Raw Data'!E85/D86</f>
        <v>80.4041194823459</v>
      </c>
      <c r="I86" s="11" t="n">
        <f aca="false">H85</f>
        <v>81.5593345823563</v>
      </c>
      <c r="J86" s="11" t="n">
        <f aca="false">G86*I86/100</f>
        <v>2.46449006440857</v>
      </c>
    </row>
    <row r="87" customFormat="false" ht="15" hidden="false" customHeight="false" outlineLevel="0" collapsed="false">
      <c r="A87" s="0" t="str">
        <f aca="false">'UK Raw Data'!A86</f>
        <v>2020-Q2</v>
      </c>
      <c r="B87" s="10" t="n">
        <f aca="false">SUM('UK Raw Data'!B83:B86)</f>
        <v>820310</v>
      </c>
      <c r="C87" s="10" t="n">
        <f aca="false">SUM('UK Raw Data'!C83:C86)-SUM('UK Raw Data'!D83:D86)</f>
        <v>865951</v>
      </c>
      <c r="D87" s="10" t="n">
        <f aca="false">SUM('UK Raw Data'!F83:F86)</f>
        <v>2178574</v>
      </c>
      <c r="E87" s="11" t="n">
        <f aca="false">100*B87/D87</f>
        <v>37.6535293269818</v>
      </c>
      <c r="F87" s="11" t="n">
        <f aca="false">100*C87/D87</f>
        <v>39.7485235755132</v>
      </c>
      <c r="G87" s="11" t="n">
        <f aca="false">100*4*'UK Raw Data'!D86/'UK Raw Data'!E85</f>
        <v>3.32327348826963</v>
      </c>
      <c r="H87" s="11" t="n">
        <f aca="false">100*'UK Raw Data'!E86/D87</f>
        <v>92.9231690087186</v>
      </c>
      <c r="I87" s="11" t="n">
        <f aca="false">H86</f>
        <v>80.4041194823459</v>
      </c>
      <c r="J87" s="11" t="n">
        <f aca="false">G87*I87/100</f>
        <v>2.67204878623344</v>
      </c>
    </row>
    <row r="88" customFormat="false" ht="15" hidden="false" customHeight="false" outlineLevel="0" collapsed="false">
      <c r="A88" s="0" t="str">
        <f aca="false">'UK Raw Data'!A87</f>
        <v>2020-Q3</v>
      </c>
      <c r="B88" s="10" t="n">
        <f aca="false">SUM('UK Raw Data'!B84:B87)</f>
        <v>804836</v>
      </c>
      <c r="C88" s="10" t="n">
        <f aca="false">SUM('UK Raw Data'!C84:C87)-SUM('UK Raw Data'!D84:D87)</f>
        <v>911812</v>
      </c>
      <c r="D88" s="10" t="n">
        <f aca="false">SUM('UK Raw Data'!F84:F87)</f>
        <v>2151442</v>
      </c>
      <c r="E88" s="11" t="n">
        <f aca="false">100*B88/D88</f>
        <v>37.4091423333746</v>
      </c>
      <c r="F88" s="11" t="n">
        <f aca="false">100*C88/D88</f>
        <v>42.3814353349986</v>
      </c>
      <c r="G88" s="11" t="n">
        <f aca="false">100*4*'UK Raw Data'!D87/'UK Raw Data'!E86</f>
        <v>2.74965421853389</v>
      </c>
      <c r="H88" s="11" t="n">
        <f aca="false">100*'UK Raw Data'!E87/D88</f>
        <v>96.1680584463815</v>
      </c>
      <c r="I88" s="11" t="n">
        <f aca="false">H87</f>
        <v>92.9231690087186</v>
      </c>
      <c r="J88" s="11" t="n">
        <f aca="false">G88*I88/100</f>
        <v>2.5550658366436</v>
      </c>
    </row>
    <row r="89" customFormat="false" ht="15" hidden="false" customHeight="false" outlineLevel="0" collapsed="false">
      <c r="A89" s="0" t="str">
        <f aca="false">'UK Raw Data'!A88</f>
        <v>2020-Q4</v>
      </c>
      <c r="B89" s="10" t="n">
        <f aca="false">SUM('UK Raw Data'!B85:B88)</f>
        <v>807268</v>
      </c>
      <c r="C89" s="10" t="n">
        <f aca="false">SUM('UK Raw Data'!C85:C88)-SUM('UK Raw Data'!D85:D88)</f>
        <v>958701</v>
      </c>
      <c r="D89" s="10" t="n">
        <f aca="false">SUM('UK Raw Data'!F85:F88)</f>
        <v>2124720</v>
      </c>
      <c r="E89" s="11" t="n">
        <f aca="false">100*B89/D89</f>
        <v>37.9940886328552</v>
      </c>
      <c r="F89" s="11" t="n">
        <f aca="false">100*C89/D89</f>
        <v>45.1212865695245</v>
      </c>
      <c r="G89" s="11" t="n">
        <f aca="false">100*4*'UK Raw Data'!D88/'UK Raw Data'!E87</f>
        <v>2.29908168197197</v>
      </c>
      <c r="H89" s="11" t="n">
        <f aca="false">100*'UK Raw Data'!E88/D89</f>
        <v>101.307466395572</v>
      </c>
      <c r="I89" s="11" t="n">
        <f aca="false">H88</f>
        <v>96.1680584463815</v>
      </c>
      <c r="J89" s="11" t="n">
        <f aca="false">G89*I89/100</f>
        <v>2.21098221564885</v>
      </c>
    </row>
    <row r="90" customFormat="false" ht="15" hidden="false" customHeight="false" outlineLevel="0" collapsed="false">
      <c r="A90" s="0" t="str">
        <f aca="false">'UK Raw Data'!A89</f>
        <v>2021-Q1</v>
      </c>
      <c r="B90" s="10" t="n">
        <f aca="false">SUM('UK Raw Data'!B86:B89)</f>
        <v>813320</v>
      </c>
      <c r="C90" s="10" t="n">
        <f aca="false">SUM('UK Raw Data'!C86:C89)-SUM('UK Raw Data'!D86:D89)</f>
        <v>1007264</v>
      </c>
      <c r="D90" s="10" t="n">
        <f aca="false">SUM('UK Raw Data'!F86:F89)</f>
        <v>2110471</v>
      </c>
      <c r="E90" s="11" t="n">
        <f aca="false">100*B90/D90</f>
        <v>38.5373691465081</v>
      </c>
      <c r="F90" s="11" t="n">
        <f aca="false">100*C90/D90</f>
        <v>47.7269765848477</v>
      </c>
      <c r="G90" s="11" t="n">
        <f aca="false">100*4*'UK Raw Data'!D89/'UK Raw Data'!E88</f>
        <v>2.28478513356562</v>
      </c>
      <c r="H90" s="11" t="n">
        <f aca="false">100*'UK Raw Data'!E89/D90</f>
        <v>102.11464644622</v>
      </c>
      <c r="I90" s="11" t="n">
        <f aca="false">H89</f>
        <v>101.307466395572</v>
      </c>
      <c r="J90" s="11" t="n">
        <f aca="false">G90*I90/100</f>
        <v>2.31465793139802</v>
      </c>
    </row>
    <row r="91" customFormat="false" ht="15" hidden="false" customHeight="false" outlineLevel="0" collapsed="false">
      <c r="A91" s="0" t="str">
        <f aca="false">'UK Raw Data'!A90</f>
        <v>2021-Q2</v>
      </c>
      <c r="B91" s="10" t="n">
        <f aca="false">SUM('UK Raw Data'!B87:B90)</f>
        <v>849144</v>
      </c>
      <c r="C91" s="10" t="n">
        <f aca="false">SUM('UK Raw Data'!C87:C90)-SUM('UK Raw Data'!D87:D90)</f>
        <v>963768</v>
      </c>
      <c r="D91" s="10" t="n">
        <f aca="false">SUM('UK Raw Data'!F87:F90)</f>
        <v>2205769</v>
      </c>
      <c r="E91" s="11" t="n">
        <f aca="false">100*B91/D91</f>
        <v>38.4965062071323</v>
      </c>
      <c r="F91" s="11" t="n">
        <f aca="false">100*C91/D91</f>
        <v>43.6930612407736</v>
      </c>
      <c r="G91" s="11" t="n">
        <f aca="false">100*4*'UK Raw Data'!D90/'UK Raw Data'!E89</f>
        <v>3.98088255765394</v>
      </c>
      <c r="H91" s="11" t="n">
        <f aca="false">100*'UK Raw Data'!E90/D91</f>
        <v>100.889984399998</v>
      </c>
      <c r="I91" s="11" t="n">
        <f aca="false">H90</f>
        <v>102.11464644622</v>
      </c>
      <c r="J91" s="11" t="n">
        <f aca="false">G91*I91/100</f>
        <v>4.06506414918755</v>
      </c>
    </row>
    <row r="92" customFormat="false" ht="15" hidden="false" customHeight="false" outlineLevel="0" collapsed="false">
      <c r="A92" s="0" t="str">
        <f aca="false">'UK Raw Data'!A91</f>
        <v>2021-Q3</v>
      </c>
      <c r="B92" s="10" t="n">
        <f aca="false">SUM('UK Raw Data'!B88:B91)</f>
        <v>879864</v>
      </c>
      <c r="C92" s="10" t="n">
        <f aca="false">SUM('UK Raw Data'!C88:C91)-SUM('UK Raw Data'!D88:D91)</f>
        <v>951283</v>
      </c>
      <c r="D92" s="10" t="n">
        <f aca="false">SUM('UK Raw Data'!F88:F91)</f>
        <v>2258157</v>
      </c>
      <c r="E92" s="11" t="n">
        <f aca="false">100*B92/D92</f>
        <v>38.9638098679587</v>
      </c>
      <c r="F92" s="11" t="n">
        <f aca="false">100*C92/D92</f>
        <v>42.1265217608873</v>
      </c>
      <c r="G92" s="11" t="n">
        <f aca="false">100*4*'UK Raw Data'!D91/'UK Raw Data'!E90</f>
        <v>3.31086546238878</v>
      </c>
      <c r="H92" s="11" t="n">
        <f aca="false">100*'UK Raw Data'!E91/D92</f>
        <v>99.04537195598</v>
      </c>
      <c r="I92" s="11" t="n">
        <f aca="false">H91</f>
        <v>100.889984399998</v>
      </c>
      <c r="J92" s="11" t="n">
        <f aca="false">G92*I92/100</f>
        <v>3.34033164850898</v>
      </c>
    </row>
    <row r="93" customFormat="false" ht="15" hidden="false" customHeight="false" outlineLevel="0" collapsed="false">
      <c r="A93" s="0" t="str">
        <f aca="false">'UK Raw Data'!A92</f>
        <v>2021-Q4</v>
      </c>
      <c r="B93" s="10" t="n">
        <f aca="false">SUM('UK Raw Data'!B89:B92)</f>
        <v>907746</v>
      </c>
      <c r="C93" s="10" t="n">
        <f aca="false">SUM('UK Raw Data'!C89:C92)-SUM('UK Raw Data'!D89:D92)</f>
        <v>930315</v>
      </c>
      <c r="D93" s="10" t="n">
        <f aca="false">SUM('UK Raw Data'!F89:F92)</f>
        <v>2322652</v>
      </c>
      <c r="E93" s="11" t="n">
        <f aca="false">100*B93/D93</f>
        <v>39.0823076379931</v>
      </c>
      <c r="F93" s="11" t="n">
        <f aca="false">100*C93/D93</f>
        <v>40.0539986188202</v>
      </c>
      <c r="G93" s="11" t="n">
        <f aca="false">100*4*'UK Raw Data'!D92/'UK Raw Data'!E91</f>
        <v>4.03505320575874</v>
      </c>
      <c r="H93" s="11" t="n">
        <f aca="false">100*'UK Raw Data'!E92/D93</f>
        <v>101.810344382198</v>
      </c>
      <c r="I93" s="11" t="n">
        <f aca="false">H92</f>
        <v>99.04537195598</v>
      </c>
      <c r="J93" s="11" t="n">
        <f aca="false">G93*I93/100</f>
        <v>3.99653345626544</v>
      </c>
    </row>
    <row r="94" customFormat="false" ht="15" hidden="false" customHeight="false" outlineLevel="0" collapsed="false">
      <c r="A94" s="0" t="str">
        <f aca="false">'UK Raw Data'!A93</f>
        <v>2022-Q1</v>
      </c>
      <c r="B94" s="10" t="n">
        <f aca="false">SUM('UK Raw Data'!B90:B93)</f>
        <v>942891</v>
      </c>
      <c r="C94" s="10" t="n">
        <f aca="false">SUM('UK Raw Data'!C90:C93)-SUM('UK Raw Data'!D90:D93)</f>
        <v>913010</v>
      </c>
      <c r="D94" s="10" t="n">
        <f aca="false">SUM('UK Raw Data'!F90:F93)</f>
        <v>2400550</v>
      </c>
      <c r="E94" s="11" t="n">
        <f aca="false">100*B94/D94</f>
        <v>39.2781237633042</v>
      </c>
      <c r="F94" s="11" t="n">
        <f aca="false">100*C94/D94</f>
        <v>38.0333673533149</v>
      </c>
      <c r="G94" s="11" t="n">
        <f aca="false">100*4*'UK Raw Data'!D93/'UK Raw Data'!E92</f>
        <v>3.84928320717216</v>
      </c>
      <c r="H94" s="11" t="n">
        <f aca="false">100*'UK Raw Data'!E93/D94</f>
        <v>99.1772718751953</v>
      </c>
      <c r="I94" s="11" t="n">
        <f aca="false">H93</f>
        <v>101.810344382198</v>
      </c>
      <c r="J94" s="11" t="n">
        <f aca="false">G94*I94/100</f>
        <v>3.91896848946807</v>
      </c>
    </row>
    <row r="95" customFormat="false" ht="15" hidden="false" customHeight="false" outlineLevel="0" collapsed="false">
      <c r="A95" s="0" t="str">
        <f aca="false">'UK Raw Data'!A94</f>
        <v>2022-Q2</v>
      </c>
      <c r="B95" s="10" t="n">
        <f aca="false">SUM('UK Raw Data'!B91:B94)</f>
        <v>972935</v>
      </c>
      <c r="C95" s="10" t="n">
        <f aca="false">SUM('UK Raw Data'!C91:C94)-SUM('UK Raw Data'!D91:D94)</f>
        <v>904092</v>
      </c>
      <c r="D95" s="10" t="n">
        <f aca="false">SUM('UK Raw Data'!F91:F94)</f>
        <v>2463318</v>
      </c>
      <c r="E95" s="11" t="n">
        <f aca="false">100*B95/D95</f>
        <v>39.4969305627613</v>
      </c>
      <c r="F95" s="11" t="n">
        <f aca="false">100*C95/D95</f>
        <v>36.7022041003232</v>
      </c>
      <c r="G95" s="11" t="n">
        <f aca="false">100*4*'UK Raw Data'!D94/'UK Raw Data'!E93</f>
        <v>6.91952284946237</v>
      </c>
      <c r="H95" s="11" t="n">
        <f aca="false">100*'UK Raw Data'!E94/D95</f>
        <v>98.4809918979198</v>
      </c>
      <c r="I95" s="11" t="n">
        <f aca="false">H94</f>
        <v>99.1772718751953</v>
      </c>
      <c r="J95" s="11" t="n">
        <f aca="false">G95*I95/100</f>
        <v>6.86259398887755</v>
      </c>
    </row>
    <row r="96" customFormat="false" ht="15" hidden="false" customHeight="false" outlineLevel="0" collapsed="false">
      <c r="A96" s="0" t="str">
        <f aca="false">'UK Raw Data'!A95</f>
        <v>2022-Q3</v>
      </c>
      <c r="B96" s="10" t="n">
        <f aca="false">SUM('UK Raw Data'!B92:B95)</f>
        <v>1006126</v>
      </c>
      <c r="C96" s="10" t="n">
        <f aca="false">SUM('UK Raw Data'!C92:C95)-SUM('UK Raw Data'!D92:D95)</f>
        <v>910841</v>
      </c>
      <c r="D96" s="10" t="n">
        <f aca="false">SUM('UK Raw Data'!F92:F95)</f>
        <v>2520844</v>
      </c>
      <c r="E96" s="11" t="n">
        <f aca="false">100*B96/D96</f>
        <v>39.9122674786698</v>
      </c>
      <c r="F96" s="11" t="n">
        <f aca="false">100*C96/D96</f>
        <v>36.132382646447</v>
      </c>
      <c r="G96" s="11" t="n">
        <f aca="false">100*4*'UK Raw Data'!D95/'UK Raw Data'!E94</f>
        <v>5.29172678181294</v>
      </c>
      <c r="H96" s="11" t="n">
        <f aca="false">100*'UK Raw Data'!E95/D96</f>
        <v>96.9437220232589</v>
      </c>
      <c r="I96" s="11" t="n">
        <f aca="false">H95</f>
        <v>98.4809918979198</v>
      </c>
      <c r="J96" s="11" t="n">
        <f aca="false">G96*I96/100</f>
        <v>5.21134502325725</v>
      </c>
    </row>
    <row r="97" customFormat="false" ht="15" hidden="false" customHeight="false" outlineLevel="0" collapsed="false">
      <c r="A97" s="0" t="str">
        <f aca="false">'UK Raw Data'!A96</f>
        <v>2022-Q4</v>
      </c>
      <c r="B97" s="10" t="n">
        <f aca="false">SUM('UK Raw Data'!B93:B96)</f>
        <v>1032903</v>
      </c>
      <c r="C97" s="10" t="n">
        <f aca="false">SUM('UK Raw Data'!C93:C96)-SUM('UK Raw Data'!D93:D96)</f>
        <v>931463</v>
      </c>
      <c r="D97" s="10" t="n">
        <f aca="false">SUM('UK Raw Data'!F93:F96)</f>
        <v>2580949</v>
      </c>
      <c r="E97" s="11" t="n">
        <f aca="false">100*B97/D97</f>
        <v>40.0202793623586</v>
      </c>
      <c r="F97" s="11" t="n">
        <f aca="false">100*C97/D97</f>
        <v>36.0899421104408</v>
      </c>
      <c r="G97" s="11" t="n">
        <f aca="false">100*4*'UK Raw Data'!D96/'UK Raw Data'!E95</f>
        <v>7.1336443244128</v>
      </c>
      <c r="H97" s="11" t="n">
        <f aca="false">100*'UK Raw Data'!E96/D97</f>
        <v>96.9139645920938</v>
      </c>
      <c r="I97" s="11" t="n">
        <f aca="false">H96</f>
        <v>96.9437220232589</v>
      </c>
      <c r="J97" s="11" t="n">
        <f aca="false">G97*I97/100</f>
        <v>6.91562032398673</v>
      </c>
    </row>
    <row r="98" customFormat="false" ht="15" hidden="false" customHeight="false" outlineLevel="0" collapsed="false">
      <c r="A98" s="0" t="str">
        <f aca="false">'UK Raw Data'!A97</f>
        <v>2023-Q1</v>
      </c>
      <c r="B98" s="10" t="n">
        <f aca="false">SUM('UK Raw Data'!B94:B97)</f>
        <v>1064038</v>
      </c>
      <c r="C98" s="10" t="n">
        <f aca="false">SUM('UK Raw Data'!C94:C97)-SUM('UK Raw Data'!D94:D97)</f>
        <v>969570</v>
      </c>
      <c r="D98" s="10" t="n">
        <f aca="false">SUM('UK Raw Data'!F94:F97)</f>
        <v>2637129</v>
      </c>
      <c r="E98" s="11" t="n">
        <f aca="false">100*B98/D98</f>
        <v>40.3483485259917</v>
      </c>
      <c r="F98" s="11" t="n">
        <f aca="false">100*C98/D98</f>
        <v>36.7661195186129</v>
      </c>
      <c r="G98" s="11" t="n">
        <f aca="false">100*4*'UK Raw Data'!D97/'UK Raw Data'!E96</f>
        <v>5.32938871786671</v>
      </c>
      <c r="H98" s="11" t="n">
        <f aca="false">100*'UK Raw Data'!E97/D98</f>
        <v>96.525425946171</v>
      </c>
      <c r="I98" s="11" t="n">
        <f aca="false">H97</f>
        <v>96.9139645920938</v>
      </c>
      <c r="J98" s="11" t="n">
        <f aca="false">G98*I98/100</f>
        <v>5.16492189500839</v>
      </c>
    </row>
    <row r="99" customFormat="false" ht="15" hidden="false" customHeight="false" outlineLevel="0" collapsed="false">
      <c r="A99" s="0" t="str">
        <f aca="false">'UK Raw Data'!A98</f>
        <v>2023-Q2</v>
      </c>
      <c r="B99" s="10" t="n">
        <f aca="false">SUM('UK Raw Data'!B95:B98)</f>
        <v>1087042</v>
      </c>
      <c r="C99" s="10" t="n">
        <f aca="false">SUM('UK Raw Data'!C95:C98)-SUM('UK Raw Data'!D95:D98)</f>
        <v>997170</v>
      </c>
      <c r="D99" s="10" t="n">
        <f aca="false">SUM('UK Raw Data'!F95:F98)</f>
        <v>2687454</v>
      </c>
      <c r="E99" s="11" t="n">
        <f aca="false">100*B99/D99</f>
        <v>40.4487667509844</v>
      </c>
      <c r="F99" s="11" t="n">
        <f aca="false">100*C99/D99</f>
        <v>37.104635093289</v>
      </c>
      <c r="G99" s="11" t="n">
        <f aca="false">100*4*'UK Raw Data'!D98/'UK Raw Data'!E97</f>
        <v>7.58436456491848</v>
      </c>
      <c r="H99" s="11" t="n">
        <f aca="false">100*'UK Raw Data'!E98/D99</f>
        <v>97.1328253432431</v>
      </c>
      <c r="I99" s="11" t="n">
        <f aca="false">H98</f>
        <v>96.525425946171</v>
      </c>
      <c r="J99" s="11" t="n">
        <f aca="false">G99*I99/100</f>
        <v>7.32084020159803</v>
      </c>
    </row>
    <row r="100" customFormat="false" ht="15" hidden="false" customHeight="false" outlineLevel="0" collapsed="false">
      <c r="A100" s="0" t="str">
        <f aca="false">'UK Raw Data'!A99</f>
        <v>2023-Q3</v>
      </c>
      <c r="B100" s="10" t="n">
        <f aca="false">SUM('UK Raw Data'!B96:B99)</f>
        <v>1104446</v>
      </c>
      <c r="C100" s="10" t="n">
        <f aca="false">SUM('UK Raw Data'!C96:C99)-SUM('UK Raw Data'!D96:D99)</f>
        <v>1017351</v>
      </c>
      <c r="D100" s="10" t="n">
        <f aca="false">SUM('UK Raw Data'!F96:F99)</f>
        <v>2730203</v>
      </c>
      <c r="E100" s="11" t="n">
        <f aca="false">100*B100/D100</f>
        <v>40.4528894005318</v>
      </c>
      <c r="F100" s="11" t="n">
        <f aca="false">100*C100/D100</f>
        <v>37.2628335695185</v>
      </c>
      <c r="G100" s="11" t="n">
        <f aca="false">100*4*'UK Raw Data'!D99/'UK Raw Data'!E98</f>
        <v>5.10297272448667</v>
      </c>
      <c r="H100" s="11" t="n">
        <f aca="false">100*'UK Raw Data'!E99/D100</f>
        <v>95.5862988942581</v>
      </c>
      <c r="I100" s="11" t="n">
        <f aca="false">H99</f>
        <v>97.1328253432431</v>
      </c>
      <c r="J100" s="11" t="n">
        <f aca="false">G100*I100/100</f>
        <v>4.95666158378897</v>
      </c>
    </row>
    <row r="101" customFormat="false" ht="15" hidden="false" customHeight="false" outlineLevel="0" collapsed="false">
      <c r="A101" s="0" t="str">
        <f aca="false">'UK Raw Data'!A100</f>
        <v>2023-Q4</v>
      </c>
      <c r="B101" s="10" t="n">
        <f aca="false">SUM('UK Raw Data'!B97:B100)</f>
        <v>1120116</v>
      </c>
      <c r="C101" s="10" t="n">
        <f aca="false">SUM('UK Raw Data'!C97:C100)-SUM('UK Raw Data'!D97:D100)</f>
        <v>1034108</v>
      </c>
      <c r="D101" s="10" t="n">
        <f aca="false">SUM('UK Raw Data'!F97:F100)</f>
        <v>2752164</v>
      </c>
      <c r="E101" s="11" t="n">
        <f aca="false">100*B101/D101</f>
        <v>40.6994641307713</v>
      </c>
      <c r="F101" s="11" t="n">
        <f aca="false">100*C101/D101</f>
        <v>37.5743596675198</v>
      </c>
      <c r="G101" s="11" t="n">
        <f aca="false">100*4*'UK Raw Data'!D100/'UK Raw Data'!E99</f>
        <v>5.91884124612024</v>
      </c>
      <c r="H101" s="11" t="n">
        <f aca="false">100*'UK Raw Data'!E100/D101</f>
        <v>97.9483780763065</v>
      </c>
      <c r="I101" s="11" t="n">
        <f aca="false">H100</f>
        <v>95.5862988942581</v>
      </c>
      <c r="J101" s="11" t="n">
        <f aca="false">G101*I101/100</f>
        <v>5.65760128459312</v>
      </c>
    </row>
    <row r="102" customFormat="false" ht="15" hidden="false" customHeight="false" outlineLevel="0" collapsed="false">
      <c r="A102" s="0" t="str">
        <f aca="false">'UK Raw Data'!A101</f>
        <v>2024-Q1</v>
      </c>
      <c r="B102" s="10" t="n">
        <f aca="false">SUM('UK Raw Data'!B98:B101)</f>
        <v>1132964</v>
      </c>
      <c r="C102" s="10" t="n">
        <f aca="false">SUM('UK Raw Data'!C98:C101)-SUM('UK Raw Data'!D98:D101)</f>
        <v>1038208</v>
      </c>
      <c r="D102" s="10" t="n">
        <f aca="false">SUM('UK Raw Data'!F98:F101)</f>
        <v>2778543</v>
      </c>
      <c r="E102" s="11" t="n">
        <f aca="false">100*B102/D102</f>
        <v>40.7754711732012</v>
      </c>
      <c r="F102" s="11" t="n">
        <f aca="false">100*C102/D102</f>
        <v>37.3651946361816</v>
      </c>
      <c r="G102" s="11" t="n">
        <f aca="false">100*4*'UK Raw Data'!D101/'UK Raw Data'!E100</f>
        <v>4.8564751270542</v>
      </c>
      <c r="H102" s="11" t="n">
        <f aca="false">100*'UK Raw Data'!E101/D102</f>
        <v>96.6549734879036</v>
      </c>
      <c r="I102" s="11" t="n">
        <f aca="false">H101</f>
        <v>97.9483780763065</v>
      </c>
      <c r="J102" s="11" t="n">
        <f aca="false">G102*I102/100</f>
        <v>4.75683861862883</v>
      </c>
    </row>
    <row r="103" customFormat="false" ht="15" hidden="false" customHeight="false" outlineLevel="0" collapsed="false">
      <c r="A103" s="0" t="str">
        <f aca="false">'UK Raw Data'!A102</f>
        <v>2024-Q2</v>
      </c>
      <c r="B103" s="10" t="n">
        <f aca="false">SUM('UK Raw Data'!B99:B102)</f>
        <v>1137115</v>
      </c>
      <c r="C103" s="10" t="n">
        <f aca="false">SUM('UK Raw Data'!C99:C102)-SUM('UK Raw Data'!D99:D102)</f>
        <v>1046487</v>
      </c>
      <c r="D103" s="10" t="n">
        <f aca="false">SUM('UK Raw Data'!F99:F102)</f>
        <v>2806790</v>
      </c>
      <c r="E103" s="11" t="n">
        <f aca="false">100*B103/D103</f>
        <v>40.5130059605457</v>
      </c>
      <c r="F103" s="11" t="n">
        <f aca="false">100*C103/D103</f>
        <v>37.2841217191169</v>
      </c>
      <c r="G103" s="11" t="n">
        <f aca="false">100*4*'UK Raw Data'!D102/'UK Raw Data'!E101</f>
        <v>6.14894250819184</v>
      </c>
      <c r="H103" s="11" t="n">
        <f aca="false">100*'UK Raw Data'!E102/D103</f>
        <v>97.2961995731779</v>
      </c>
      <c r="I103" s="11" t="n">
        <f aca="false">H102</f>
        <v>96.6549734879036</v>
      </c>
      <c r="J103" s="11" t="n">
        <f aca="false">G103*I103/100</f>
        <v>5.94325875107925</v>
      </c>
    </row>
    <row r="104" customFormat="false" ht="15" hidden="false" customHeight="false" outlineLevel="0" collapsed="false">
      <c r="A104" s="0" t="str">
        <f aca="false">'UK Raw Data'!A103</f>
        <v>2024-Q3</v>
      </c>
      <c r="B104" s="10" t="n">
        <f aca="false">SUM('UK Raw Data'!B100:B103)</f>
        <v>1135925</v>
      </c>
      <c r="C104" s="10" t="n">
        <f aca="false">SUM('UK Raw Data'!C100:C103)-SUM('UK Raw Data'!D100:D103)</f>
        <v>1058612</v>
      </c>
      <c r="D104" s="10" t="n">
        <f aca="false">SUM('UK Raw Data'!F100:F103)</f>
        <v>2843685</v>
      </c>
      <c r="E104" s="11" t="n">
        <f aca="false">100*B104/D104</f>
        <v>39.9455284252651</v>
      </c>
      <c r="F104" s="11" t="n">
        <f aca="false">100*C104/D104</f>
        <v>37.2267673810566</v>
      </c>
      <c r="G104" s="11" t="n">
        <f aca="false">100*4*'UK Raw Data'!D103/'UK Raw Data'!E102</f>
        <v>4.36984144421253</v>
      </c>
      <c r="H104" s="11" t="n">
        <f aca="false">100*'UK Raw Data'!E103/D104</f>
        <v>96.9797990987047</v>
      </c>
      <c r="I104" s="11" t="n">
        <f aca="false">H103</f>
        <v>97.2961995731779</v>
      </c>
      <c r="J104" s="11" t="n">
        <f aca="false">G104*I104/100</f>
        <v>4.25168965259246</v>
      </c>
    </row>
    <row r="105" customFormat="false" ht="15" hidden="false" customHeight="false" outlineLevel="0" collapsed="false">
      <c r="A105" s="0" t="str">
        <f aca="false">'UK Raw Data'!A104</f>
        <v>2024-Q4</v>
      </c>
      <c r="B105" s="10" t="n">
        <f aca="false">SUM('UK Raw Data'!B101:B104)</f>
        <v>1135703</v>
      </c>
      <c r="C105" s="10" t="n">
        <f aca="false">SUM('UK Raw Data'!C101:C104)-SUM('UK Raw Data'!D101:D104)</f>
        <v>1079250</v>
      </c>
      <c r="D105" s="10" t="n">
        <f aca="false">SUM('UK Raw Data'!F101:F104)</f>
        <v>2891444</v>
      </c>
      <c r="E105" s="11" t="n">
        <f aca="false">100*B105/D105</f>
        <v>39.2780562238107</v>
      </c>
      <c r="F105" s="11" t="n">
        <f aca="false">100*C105/D105</f>
        <v>37.3256407525098</v>
      </c>
      <c r="G105" s="11" t="n">
        <f aca="false">100*4*'UK Raw Data'!D104/'UK Raw Data'!E103</f>
        <v>4.59250126912757</v>
      </c>
      <c r="H105" s="11" t="n">
        <f aca="false">100*'UK Raw Data'!E104/D105</f>
        <v>97.3700337962624</v>
      </c>
      <c r="I105" s="11" t="n">
        <f aca="false">H104</f>
        <v>96.9797990987047</v>
      </c>
      <c r="J105" s="11" t="n">
        <f aca="false">G105*I105/100</f>
        <v>4.45379850440538</v>
      </c>
    </row>
    <row r="106" customFormat="false" ht="15" hidden="false" customHeight="false" outlineLevel="0" collapsed="false">
      <c r="A106" s="0" t="str">
        <f aca="false">'UK Raw Data'!A105</f>
        <v>2025-Q1</v>
      </c>
      <c r="B106" s="10" t="n">
        <f aca="false">SUM('UK Raw Data'!B102:B105)</f>
        <v>1144733</v>
      </c>
      <c r="C106" s="10" t="n">
        <f aca="false">SUM('UK Raw Data'!C102:C105)-SUM('UK Raw Data'!D102:D105)</f>
        <v>1095176</v>
      </c>
      <c r="D106" s="10" t="n">
        <f aca="false">SUM('UK Raw Data'!F102:F105)</f>
        <v>2933871</v>
      </c>
      <c r="E106" s="11" t="n">
        <f aca="false">100*B106/D106</f>
        <v>39.0178368442239</v>
      </c>
      <c r="F106" s="11" t="n">
        <f aca="false">100*C106/D106</f>
        <v>37.3287032729115</v>
      </c>
      <c r="G106" s="11" t="n">
        <f aca="false">100*4*'UK Raw Data'!D105/'UK Raw Data'!E104</f>
        <v>3.9883497904383</v>
      </c>
      <c r="H106" s="11" t="n">
        <f aca="false">100*'UK Raw Data'!E105/D106</f>
        <v>95.6006586519994</v>
      </c>
      <c r="I106" s="11" t="n">
        <f aca="false">H105</f>
        <v>97.3700337962624</v>
      </c>
      <c r="J106" s="11" t="n">
        <f aca="false">G106*I106/100</f>
        <v>3.88345753886294</v>
      </c>
    </row>
    <row r="107" customFormat="false" ht="15" hidden="false" customHeight="false" outlineLevel="0" collapsed="false">
      <c r="A107" s="0" t="str">
        <f aca="false">'UK Raw Data'!A106</f>
        <v>2025-Q2</v>
      </c>
      <c r="B107" s="10" t="n">
        <f aca="false">SUM('UK Raw Data'!B103:B106)</f>
        <v>1154916</v>
      </c>
      <c r="C107" s="10" t="n">
        <f aca="false">SUM('UK Raw Data'!C103:C106)-SUM('UK Raw Data'!D103:D106)</f>
        <v>1114206</v>
      </c>
      <c r="D107" s="10" t="n">
        <f aca="false">SUM('UK Raw Data'!F103:F106)</f>
        <v>2973933</v>
      </c>
      <c r="E107" s="11" t="n">
        <f aca="false">100*B107/D107</f>
        <v>38.8346341360078</v>
      </c>
      <c r="F107" s="11" t="n">
        <f aca="false">100*C107/D107</f>
        <v>37.4657398132372</v>
      </c>
      <c r="G107" s="11" t="n">
        <f aca="false">100*4*'UK Raw Data'!D106/'UK Raw Data'!E105</f>
        <v>6.2063605248146</v>
      </c>
      <c r="H107" s="11" t="n">
        <f aca="false">100*'UK Raw Data'!E106/D107</f>
        <v>96.4244991396915</v>
      </c>
      <c r="I107" s="11" t="n">
        <f aca="false">H106</f>
        <v>95.6006586519994</v>
      </c>
      <c r="J107" s="11" t="n">
        <f aca="false">G107*I107/100</f>
        <v>5.93332154004045</v>
      </c>
    </row>
    <row r="108" customFormat="false" ht="15" hidden="false" customHeight="false" outlineLevel="0" collapsed="false">
      <c r="A108" s="0" t="str">
        <f aca="false">'UK Raw Data'!A107</f>
        <v>2025-Q3</v>
      </c>
      <c r="B108" s="10" t="n">
        <f aca="false">SUM('UK Raw Data'!B104:B107)</f>
        <v>1177467</v>
      </c>
      <c r="C108" s="10" t="n">
        <f aca="false">SUM('UK Raw Data'!C104:C107)-SUM('UK Raw Data'!D104:D107)</f>
        <v>1133553</v>
      </c>
      <c r="D108" s="10" t="n">
        <f aca="false">SUM('UK Raw Data'!F104:F107)</f>
        <v>3008729</v>
      </c>
      <c r="E108" s="11" t="n">
        <f aca="false">100*B108/D108</f>
        <v>39.1350301073975</v>
      </c>
      <c r="F108" s="11" t="n">
        <f aca="false">100*C108/D108</f>
        <v>37.6754769206532</v>
      </c>
      <c r="G108" s="11" t="n">
        <f aca="false">100*4*'UK Raw Data'!D107/'UK Raw Data'!E106</f>
        <v>4.64988143395174</v>
      </c>
      <c r="H108" s="11" t="n">
        <f aca="false">100*'UK Raw Data'!E107/D108</f>
        <v>96.8315856961528</v>
      </c>
      <c r="I108" s="11" t="n">
        <f aca="false">H107</f>
        <v>96.4244991396915</v>
      </c>
      <c r="J108" s="11" t="n">
        <f aca="false">G108*I108/100</f>
        <v>4.48362488327746</v>
      </c>
    </row>
    <row r="109" customFormat="false" ht="15" hidden="false" customHeight="false" outlineLevel="0" collapsed="false">
      <c r="A109" s="0" t="str">
        <f aca="false">'UK Raw Data'!A108</f>
        <v>2025-Q4</v>
      </c>
      <c r="B109" s="10" t="n">
        <f aca="false">SUM('UK Raw Data'!B105:B108)</f>
        <v>1198083</v>
      </c>
      <c r="C109" s="10" t="n">
        <f aca="false">SUM('UK Raw Data'!C105:C108)-SUM('UK Raw Data'!D105:D108)</f>
        <v>1143241</v>
      </c>
      <c r="D109" s="10" t="n">
        <f aca="false">SUM('UK Raw Data'!F105:F108)</f>
        <v>3039861</v>
      </c>
      <c r="E109" s="11" t="n">
        <f aca="false">100*B109/D109</f>
        <v>39.4124270813698</v>
      </c>
      <c r="F109" s="11" t="n">
        <f aca="false">100*C109/D109</f>
        <v>37.6083314335754</v>
      </c>
      <c r="G109" s="11" t="n">
        <f aca="false">100*4*'UK Raw Data'!D108/'UK Raw Data'!E107</f>
        <v>3.93904029656072</v>
      </c>
      <c r="H109" s="11" t="n">
        <f aca="false">100*'UK Raw Data'!E108/D109</f>
        <v>96.2412426094483</v>
      </c>
      <c r="I109" s="11" t="n">
        <f aca="false">H108</f>
        <v>96.8315856961528</v>
      </c>
      <c r="J109" s="11" t="n">
        <f aca="false">G109*I109/100</f>
        <v>3.81423518037018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3" min="2" style="0" width="15"/>
  </cols>
  <sheetData>
    <row r="1" customFormat="false" ht="19.7" hidden="false" customHeight="false" outlineLevel="0" collapsed="false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09.5" hidden="false" customHeight="true" outlineLevel="0" collapsed="false">
      <c r="A2" s="8" t="s">
        <v>192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customFormat="false" ht="28.35" hidden="false" customHeight="false" outlineLevel="0" collapsed="false">
      <c r="A4" s="5" t="s">
        <v>53</v>
      </c>
      <c r="B4" s="5" t="s">
        <v>193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198</v>
      </c>
      <c r="H4" s="5" t="s">
        <v>199</v>
      </c>
      <c r="I4" s="5" t="s">
        <v>200</v>
      </c>
      <c r="J4" s="5" t="s">
        <v>201</v>
      </c>
      <c r="K4" s="5" t="s">
        <v>202</v>
      </c>
      <c r="L4" s="5" t="s">
        <v>203</v>
      </c>
      <c r="M4" s="5" t="s">
        <v>204</v>
      </c>
    </row>
    <row r="5" customFormat="false" ht="64.9" hidden="false" customHeight="false" outlineLevel="0" collapsed="false">
      <c r="B5" s="9" t="s">
        <v>205</v>
      </c>
      <c r="C5" s="9" t="s">
        <v>206</v>
      </c>
      <c r="D5" s="9" t="s">
        <v>207</v>
      </c>
      <c r="E5" s="9" t="s">
        <v>208</v>
      </c>
      <c r="F5" s="9" t="s">
        <v>209</v>
      </c>
      <c r="G5" s="9" t="s">
        <v>210</v>
      </c>
      <c r="H5" s="9" t="s">
        <v>211</v>
      </c>
      <c r="I5" s="9" t="s">
        <v>212</v>
      </c>
      <c r="J5" s="9" t="s">
        <v>213</v>
      </c>
      <c r="K5" s="9" t="s">
        <v>214</v>
      </c>
      <c r="L5" s="9" t="s">
        <v>215</v>
      </c>
      <c r="M5" s="9" t="s">
        <v>216</v>
      </c>
    </row>
    <row r="6" customFormat="false" ht="15" hidden="false" customHeight="false" outlineLevel="0" collapsed="false">
      <c r="A6" s="0" t="str">
        <f aca="false">'UK Construction'!A6</f>
        <v>2000-Q1</v>
      </c>
      <c r="B6" s="11" t="n">
        <f aca="false">'UK Construction'!E6-'UK Construction'!F6</f>
        <v>9.3068568566739</v>
      </c>
      <c r="C6" s="11" t="n">
        <f aca="false">'UK Construction'!J6</f>
        <v>11.6117287087234</v>
      </c>
      <c r="D6" s="11" t="n">
        <f aca="false">C6*100/F6</f>
        <v>8.99065949617889</v>
      </c>
      <c r="E6" s="11" t="n">
        <f aca="false">0</f>
        <v>0</v>
      </c>
      <c r="F6" s="11" t="n">
        <f aca="false">'UK Construction'!H6</f>
        <v>129.153247474877</v>
      </c>
      <c r="G6" s="11" t="n">
        <f aca="false">((1+D6/400)/(1+E6/100)-1)*F6</f>
        <v>2.90293217718087</v>
      </c>
      <c r="H6" s="11" t="n">
        <f aca="false">4*(L6-F6-G6+B6/4)</f>
        <v>-2.30487185204957</v>
      </c>
      <c r="I6" s="11" t="n">
        <f aca="false">F6*(1+D6/400)/(1+E6/100)-B6/4+H6/4</f>
        <v>129.153247474877</v>
      </c>
      <c r="J6" s="10" t="n">
        <f aca="false">(1+D6/400)*(F6/100*'UK Construction'!D6)-B6/100*'UK Construction'!D6/4+H6/100*'UK Construction'!D6/4</f>
        <v>353300</v>
      </c>
      <c r="K6" s="11" t="n">
        <f aca="false">J6/'UK Construction'!D6*100</f>
        <v>129.153247474877</v>
      </c>
      <c r="L6" s="11" t="n">
        <f aca="false">'UK Construction'!H6</f>
        <v>129.153247474877</v>
      </c>
      <c r="M6" s="11" t="n">
        <f aca="false">I6-L6</f>
        <v>0</v>
      </c>
    </row>
    <row r="7" customFormat="false" ht="15" hidden="false" customHeight="false" outlineLevel="0" collapsed="false">
      <c r="A7" s="0" t="str">
        <f aca="false">'UK Construction'!A7</f>
        <v>2000-Q2</v>
      </c>
      <c r="B7" s="11" t="n">
        <f aca="false">'UK Construction'!E7-'UK Construction'!F7</f>
        <v>8.01452281401393</v>
      </c>
      <c r="C7" s="11" t="n">
        <f aca="false">'UK Construction'!J7</f>
        <v>12.8765751176197</v>
      </c>
      <c r="D7" s="11" t="n">
        <f aca="false">C7*100/F7</f>
        <v>9.9699971695443</v>
      </c>
      <c r="E7" s="11" t="n">
        <f aca="false">100*('UK Construction'!D7/'UK Construction'!D6-1)</f>
        <v>100.567353071274</v>
      </c>
      <c r="F7" s="11" t="n">
        <f aca="false">'UK Construction'!H6</f>
        <v>129.153247474877</v>
      </c>
      <c r="G7" s="11" t="n">
        <f aca="false">((1+D7/400)/(1+E7/100)-1)*F7</f>
        <v>-63.1542754451458</v>
      </c>
      <c r="H7" s="11" t="n">
        <f aca="false">4*(L7-F7-G7+B7/4)</f>
        <v>-6.7897071742847</v>
      </c>
      <c r="I7" s="11" t="n">
        <f aca="false">F7*(1+D7/400)/(1+E7/100)-B7/4+H7/4</f>
        <v>62.2979145326563</v>
      </c>
      <c r="J7" s="10" t="n">
        <f aca="false">(1+D7/400)*(F7/100*'UK Construction'!D6)-B7/100*'UK Construction'!D7/4+H7/100*'UK Construction'!D7/4</f>
        <v>341800</v>
      </c>
      <c r="K7" s="11" t="n">
        <f aca="false">J7/'UK Construction'!D7*100</f>
        <v>62.2979145326563</v>
      </c>
      <c r="L7" s="11" t="n">
        <f aca="false">'UK Construction'!H7</f>
        <v>62.2979145326563</v>
      </c>
      <c r="M7" s="11" t="n">
        <f aca="false">I7-L7</f>
        <v>0</v>
      </c>
    </row>
    <row r="8" customFormat="false" ht="15" hidden="false" customHeight="false" outlineLevel="0" collapsed="false">
      <c r="A8" s="0" t="str">
        <f aca="false">'UK Construction'!A8</f>
        <v>2000-Q3</v>
      </c>
      <c r="B8" s="11" t="n">
        <f aca="false">'UK Construction'!E8-'UK Construction'!F8</f>
        <v>7.62210407760406</v>
      </c>
      <c r="C8" s="11" t="n">
        <f aca="false">'UK Construction'!J8</f>
        <v>6.12991065407342</v>
      </c>
      <c r="D8" s="11" t="n">
        <f aca="false">C8*100/F8</f>
        <v>9.8396723229959</v>
      </c>
      <c r="E8" s="11" t="n">
        <f aca="false">100*('UK Construction'!D8/'UK Construction'!D7-1)</f>
        <v>50.5010443740499</v>
      </c>
      <c r="F8" s="11" t="n">
        <f aca="false">'UK Construction'!H7</f>
        <v>62.2979145326563</v>
      </c>
      <c r="G8" s="11" t="n">
        <f aca="false">((1+D8/400)/(1+E8/100)-1)*F8</f>
        <v>-19.885988116031</v>
      </c>
      <c r="H8" s="11" t="n">
        <f aca="false">4*(L8-F8-G8+B8/4)</f>
        <v>-3.8140796628438</v>
      </c>
      <c r="I8" s="11" t="n">
        <f aca="false">F8*(1+D8/400)/(1+E8/100)-B8/4+H8/4</f>
        <v>39.5528804815133</v>
      </c>
      <c r="J8" s="10" t="n">
        <f aca="false">(1+D8/400)*(F8/100*'UK Construction'!D7)-B8/100*'UK Construction'!D8/4+H8/100*'UK Construction'!D8/4</f>
        <v>326600</v>
      </c>
      <c r="K8" s="11" t="n">
        <f aca="false">J8/'UK Construction'!D8*100</f>
        <v>39.5528804815133</v>
      </c>
      <c r="L8" s="11" t="n">
        <f aca="false">'UK Construction'!H8</f>
        <v>39.5528804815133</v>
      </c>
      <c r="M8" s="11" t="n">
        <f aca="false">I8-L8</f>
        <v>0</v>
      </c>
    </row>
    <row r="9" customFormat="false" ht="15" hidden="false" customHeight="false" outlineLevel="0" collapsed="false">
      <c r="A9" s="0" t="str">
        <f aca="false">'UK Construction'!A9</f>
        <v>2000-Q4</v>
      </c>
      <c r="B9" s="11" t="n">
        <f aca="false">'UK Construction'!E9-'UK Construction'!F9</f>
        <v>6.74083668926888</v>
      </c>
      <c r="C9" s="11" t="n">
        <f aca="false">'UK Construction'!J9</f>
        <v>4.40337640633137</v>
      </c>
      <c r="D9" s="11" t="n">
        <f aca="false">C9*100/F9</f>
        <v>11.1328842620943</v>
      </c>
      <c r="E9" s="11" t="n">
        <f aca="false">100*('UK Construction'!D9/'UK Construction'!D8-1)</f>
        <v>33.7917963498965</v>
      </c>
      <c r="F9" s="11" t="n">
        <f aca="false">'UK Construction'!H8</f>
        <v>39.5528804815133</v>
      </c>
      <c r="G9" s="11" t="n">
        <f aca="false">((1+D9/400)/(1+E9/100)-1)*F9</f>
        <v>-9.1670678291611</v>
      </c>
      <c r="H9" s="11" t="n">
        <f aca="false">4*(L9-F9-G9+B9/4)</f>
        <v>5.87548958641659</v>
      </c>
      <c r="I9" s="11" t="n">
        <f aca="false">F9*(1+D9/400)/(1+E9/100)-B9/4+H9/4</f>
        <v>30.1694758766392</v>
      </c>
      <c r="J9" s="10" t="n">
        <f aca="false">(1+D9/400)*(F9/100*'UK Construction'!D8)-B9/100*'UK Construction'!D9/4+H9/100*'UK Construction'!D9/4</f>
        <v>333300</v>
      </c>
      <c r="K9" s="11" t="n">
        <f aca="false">J9/'UK Construction'!D9*100</f>
        <v>30.1694758766392</v>
      </c>
      <c r="L9" s="11" t="n">
        <f aca="false">'UK Construction'!H9</f>
        <v>30.1694758766392</v>
      </c>
      <c r="M9" s="11" t="n">
        <f aca="false">I9-L9</f>
        <v>0</v>
      </c>
    </row>
    <row r="10" customFormat="false" ht="15" hidden="false" customHeight="false" outlineLevel="0" collapsed="false">
      <c r="A10" s="0" t="str">
        <f aca="false">'UK Construction'!A10</f>
        <v>2001-Q1</v>
      </c>
      <c r="B10" s="11" t="n">
        <f aca="false">'UK Construction'!E10-'UK Construction'!F10</f>
        <v>6.72767487165136</v>
      </c>
      <c r="C10" s="11" t="n">
        <f aca="false">'UK Construction'!J10</f>
        <v>3.0243700209729</v>
      </c>
      <c r="D10" s="11" t="n">
        <f aca="false">C10*100/F10</f>
        <v>10.024602460246</v>
      </c>
      <c r="E10" s="11" t="n">
        <f aca="false">100*('UK Construction'!D10/'UK Construction'!D9-1)</f>
        <v>0.920834317710928</v>
      </c>
      <c r="F10" s="11" t="n">
        <f aca="false">'UK Construction'!H9</f>
        <v>30.1694758766392</v>
      </c>
      <c r="G10" s="11" t="n">
        <f aca="false">((1+D10/400)/(1+E10/100)-1)*F10</f>
        <v>0.473917621798412</v>
      </c>
      <c r="H10" s="11" t="n">
        <f aca="false">4*(L10-F10-G10+B10/4)</f>
        <v>-0.32315872178751</v>
      </c>
      <c r="I10" s="11" t="n">
        <f aca="false">F10*(1+D10/400)/(1+E10/100)-B10/4+H10/4</f>
        <v>28.8806851000779</v>
      </c>
      <c r="J10" s="10" t="n">
        <f aca="false">(1+D10/400)*(F10/100*'UK Construction'!D9)-B10/100*'UK Construction'!D10/4+H10/100*'UK Construction'!D10/4</f>
        <v>322000</v>
      </c>
      <c r="K10" s="11" t="n">
        <f aca="false">J10/'UK Construction'!D10*100</f>
        <v>28.8806851000779</v>
      </c>
      <c r="L10" s="11" t="n">
        <f aca="false">'UK Construction'!H10</f>
        <v>28.8806851000779</v>
      </c>
      <c r="M10" s="11" t="n">
        <f aca="false">I10-L10</f>
        <v>0</v>
      </c>
    </row>
    <row r="11" customFormat="false" ht="15" hidden="false" customHeight="false" outlineLevel="0" collapsed="false">
      <c r="A11" s="0" t="str">
        <f aca="false">'UK Construction'!A11</f>
        <v>2001-Q2</v>
      </c>
      <c r="B11" s="11" t="n">
        <f aca="false">'UK Construction'!E11-'UK Construction'!F11</f>
        <v>6.23381277096978</v>
      </c>
      <c r="C11" s="11" t="n">
        <f aca="false">'UK Construction'!J11</f>
        <v>2.9167698119706</v>
      </c>
      <c r="D11" s="11" t="n">
        <f aca="false">C11*100/F11</f>
        <v>10.0993788819876</v>
      </c>
      <c r="E11" s="11" t="n">
        <f aca="false">100*('UK Construction'!D11/'UK Construction'!D10-1)</f>
        <v>1.12114460792228</v>
      </c>
      <c r="F11" s="11" t="n">
        <f aca="false">'UK Construction'!H10</f>
        <v>28.8806851000779</v>
      </c>
      <c r="G11" s="11" t="n">
        <f aca="false">((1+D11/400)/(1+E11/100)-1)*F11</f>
        <v>0.400903501274603</v>
      </c>
      <c r="H11" s="11" t="n">
        <f aca="false">4*(L11-F11-G11+B11/4)</f>
        <v>6.2941268298221</v>
      </c>
      <c r="I11" s="11" t="n">
        <f aca="false">F11*(1+D11/400)/(1+E11/100)-B11/4+H11/4</f>
        <v>29.2966671160655</v>
      </c>
      <c r="J11" s="10" t="n">
        <f aca="false">(1+D11/400)*(F11/100*'UK Construction'!D10)-B11/100*'UK Construction'!D11/4+H11/100*'UK Construction'!D11/4</f>
        <v>330300</v>
      </c>
      <c r="K11" s="11" t="n">
        <f aca="false">J11/'UK Construction'!D11*100</f>
        <v>29.2966671160655</v>
      </c>
      <c r="L11" s="11" t="n">
        <f aca="false">'UK Construction'!H11</f>
        <v>29.2966671160655</v>
      </c>
      <c r="M11" s="11" t="n">
        <f aca="false">I11-L11</f>
        <v>0</v>
      </c>
    </row>
    <row r="12" customFormat="false" ht="15" hidden="false" customHeight="false" outlineLevel="0" collapsed="false">
      <c r="A12" s="0" t="str">
        <f aca="false">'UK Construction'!A12</f>
        <v>2001-Q3</v>
      </c>
      <c r="B12" s="11" t="n">
        <f aca="false">'UK Construction'!E12-'UK Construction'!F12</f>
        <v>5.86282749065754</v>
      </c>
      <c r="C12" s="11" t="n">
        <f aca="false">'UK Construction'!J12</f>
        <v>2.69923152793251</v>
      </c>
      <c r="D12" s="11" t="n">
        <f aca="false">C12*100/F12</f>
        <v>9.21344232515895</v>
      </c>
      <c r="E12" s="11" t="n">
        <f aca="false">100*('UK Construction'!D12/'UK Construction'!D11-1)</f>
        <v>1.08716091081325</v>
      </c>
      <c r="F12" s="11" t="n">
        <f aca="false">'UK Construction'!H11</f>
        <v>29.2966671160655</v>
      </c>
      <c r="G12" s="11" t="n">
        <f aca="false">((1+D12/400)/(1+E12/100)-1)*F12</f>
        <v>0.352474009276548</v>
      </c>
      <c r="H12" s="11" t="n">
        <f aca="false">4*(L12-F12-G12+B12/4)</f>
        <v>1.19207959364356</v>
      </c>
      <c r="I12" s="11" t="n">
        <f aca="false">F12*(1+D12/400)/(1+E12/100)-B12/4+H12/4</f>
        <v>28.4814541510886</v>
      </c>
      <c r="J12" s="10" t="n">
        <f aca="false">(1+D12/400)*(F12/100*'UK Construction'!D11)-B12/100*'UK Construction'!D12/4+H12/100*'UK Construction'!D12/4</f>
        <v>324600</v>
      </c>
      <c r="K12" s="11" t="n">
        <f aca="false">J12/'UK Construction'!D12*100</f>
        <v>28.4814541510886</v>
      </c>
      <c r="L12" s="11" t="n">
        <f aca="false">'UK Construction'!H12</f>
        <v>28.4814541510886</v>
      </c>
      <c r="M12" s="11" t="n">
        <f aca="false">I12-L12</f>
        <v>0</v>
      </c>
    </row>
    <row r="13" customFormat="false" ht="15" hidden="false" customHeight="false" outlineLevel="0" collapsed="false">
      <c r="A13" s="0" t="str">
        <f aca="false">'UK Construction'!A13</f>
        <v>2001-Q4</v>
      </c>
      <c r="B13" s="11" t="n">
        <f aca="false">'UK Construction'!E13-'UK Construction'!F13</f>
        <v>5.2490912978405</v>
      </c>
      <c r="C13" s="11" t="n">
        <f aca="false">'UK Construction'!J13</f>
        <v>2.87271352096932</v>
      </c>
      <c r="D13" s="11" t="n">
        <f aca="false">C13*100/F13</f>
        <v>10.0862600123229</v>
      </c>
      <c r="E13" s="11" t="n">
        <f aca="false">100*('UK Construction'!D13/'UK Construction'!D12-1)</f>
        <v>0.952277331798412</v>
      </c>
      <c r="F13" s="11" t="n">
        <f aca="false">'UK Construction'!H12</f>
        <v>28.4814541510886</v>
      </c>
      <c r="G13" s="11" t="n">
        <f aca="false">((1+D13/400)/(1+E13/100)-1)*F13</f>
        <v>0.442739837483759</v>
      </c>
      <c r="H13" s="11" t="n">
        <f aca="false">4*(L13-F13-G13+B13/4)</f>
        <v>6.19299425835822</v>
      </c>
      <c r="I13" s="11" t="n">
        <f aca="false">F13*(1+D13/400)/(1+E13/100)-B13/4+H13/4</f>
        <v>29.1601697287018</v>
      </c>
      <c r="J13" s="10" t="n">
        <f aca="false">(1+D13/400)*(F13/100*'UK Construction'!D12)-B13/100*'UK Construction'!D13/4+H13/100*'UK Construction'!D13/4</f>
        <v>335500</v>
      </c>
      <c r="K13" s="11" t="n">
        <f aca="false">J13/'UK Construction'!D13*100</f>
        <v>29.1601697287018</v>
      </c>
      <c r="L13" s="11" t="n">
        <f aca="false">'UK Construction'!H13</f>
        <v>29.1601697287018</v>
      </c>
      <c r="M13" s="11" t="n">
        <f aca="false">I13-L13</f>
        <v>0</v>
      </c>
    </row>
    <row r="14" customFormat="false" ht="15" hidden="false" customHeight="false" outlineLevel="0" collapsed="false">
      <c r="A14" s="0" t="str">
        <f aca="false">'UK Construction'!A14</f>
        <v>2002-Q1</v>
      </c>
      <c r="B14" s="11" t="n">
        <f aca="false">'UK Construction'!E14-'UK Construction'!F14</f>
        <v>4.39762004866046</v>
      </c>
      <c r="C14" s="11" t="n">
        <f aca="false">'UK Construction'!J14</f>
        <v>2.56400896273235</v>
      </c>
      <c r="D14" s="11" t="n">
        <f aca="false">C14*100/F14</f>
        <v>8.79284649776453</v>
      </c>
      <c r="E14" s="11" t="n">
        <f aca="false">100*('UK Construction'!D14/'UK Construction'!D13-1)</f>
        <v>0.882540576528279</v>
      </c>
      <c r="F14" s="11" t="n">
        <f aca="false">'UK Construction'!H13</f>
        <v>29.1601697287018</v>
      </c>
      <c r="G14" s="11" t="n">
        <f aca="false">((1+D14/400)/(1+E14/100)-1)*F14</f>
        <v>0.380295647245069</v>
      </c>
      <c r="H14" s="11" t="n">
        <f aca="false">4*(L14-F14-G14+B14/4)</f>
        <v>0.167399560263842</v>
      </c>
      <c r="I14" s="11" t="n">
        <f aca="false">F14*(1+D14/400)/(1+E14/100)-B14/4+H14/4</f>
        <v>28.4829102538477</v>
      </c>
      <c r="J14" s="10" t="n">
        <f aca="false">(1+D14/400)*(F14/100*'UK Construction'!D13)-B14/100*'UK Construction'!D14/4+H14/100*'UK Construction'!D14/4</f>
        <v>330600</v>
      </c>
      <c r="K14" s="11" t="n">
        <f aca="false">J14/'UK Construction'!D14*100</f>
        <v>28.4829102538477</v>
      </c>
      <c r="L14" s="11" t="n">
        <f aca="false">'UK Construction'!H14</f>
        <v>28.4829102538477</v>
      </c>
      <c r="M14" s="11" t="n">
        <f aca="false">I14-L14</f>
        <v>0</v>
      </c>
    </row>
    <row r="15" customFormat="false" ht="15" hidden="false" customHeight="false" outlineLevel="0" collapsed="false">
      <c r="A15" s="0" t="str">
        <f aca="false">'UK Construction'!A15</f>
        <v>2002-Q2</v>
      </c>
      <c r="B15" s="11" t="n">
        <f aca="false">'UK Construction'!E15-'UK Construction'!F15</f>
        <v>3.64628824692717</v>
      </c>
      <c r="C15" s="11" t="n">
        <f aca="false">'UK Construction'!J15</f>
        <v>2.76316968439626</v>
      </c>
      <c r="D15" s="11" t="n">
        <f aca="false">C15*100/F15</f>
        <v>9.70114942528736</v>
      </c>
      <c r="E15" s="11" t="n">
        <f aca="false">100*('UK Construction'!D15/'UK Construction'!D14-1)</f>
        <v>0.809686601832005</v>
      </c>
      <c r="F15" s="11" t="n">
        <f aca="false">'UK Construction'!H14</f>
        <v>28.4829102538477</v>
      </c>
      <c r="G15" s="11" t="n">
        <f aca="false">((1+D15/400)/(1+E15/100)-1)*F15</f>
        <v>0.456474103306522</v>
      </c>
      <c r="H15" s="11" t="n">
        <f aca="false">4*(L15-F15-G15+B15/4)</f>
        <v>3.81106133353387</v>
      </c>
      <c r="I15" s="11" t="n">
        <f aca="false">F15*(1+D15/400)/(1+E15/100)-B15/4+H15/4</f>
        <v>28.9805776288059</v>
      </c>
      <c r="J15" s="10" t="n">
        <f aca="false">(1+D15/400)*(F15/100*'UK Construction'!D14)-B15/100*'UK Construction'!D15/4+H15/100*'UK Construction'!D15/4</f>
        <v>339100</v>
      </c>
      <c r="K15" s="11" t="n">
        <f aca="false">J15/'UK Construction'!D15*100</f>
        <v>28.9805776288059</v>
      </c>
      <c r="L15" s="11" t="n">
        <f aca="false">'UK Construction'!H15</f>
        <v>28.9805776288059</v>
      </c>
      <c r="M15" s="11" t="n">
        <f aca="false">I15-L15</f>
        <v>0</v>
      </c>
    </row>
    <row r="16" customFormat="false" ht="15" hidden="false" customHeight="false" outlineLevel="0" collapsed="false">
      <c r="A16" s="0" t="str">
        <f aca="false">'UK Construction'!A16</f>
        <v>2002-Q3</v>
      </c>
      <c r="B16" s="11" t="n">
        <f aca="false">'UK Construction'!E16-'UK Construction'!F16</f>
        <v>2.94988074103186</v>
      </c>
      <c r="C16" s="11" t="n">
        <f aca="false">'UK Construction'!J16</f>
        <v>2.3331458840059</v>
      </c>
      <c r="D16" s="11" t="n">
        <f aca="false">C16*100/F16</f>
        <v>8.05072250073724</v>
      </c>
      <c r="E16" s="11" t="n">
        <f aca="false">100*('UK Construction'!D16/'UK Construction'!D15-1)</f>
        <v>0.899927698116554</v>
      </c>
      <c r="F16" s="11" t="n">
        <f aca="false">'UK Construction'!H15</f>
        <v>28.9805776288059</v>
      </c>
      <c r="G16" s="11" t="n">
        <f aca="false">((1+D16/400)/(1+E16/100)-1)*F16</f>
        <v>0.319606002900736</v>
      </c>
      <c r="H16" s="11" t="n">
        <f aca="false">4*(L16-F16-G16+B16/4)</f>
        <v>2.16216170431907</v>
      </c>
      <c r="I16" s="11" t="n">
        <f aca="false">F16*(1+D16/400)/(1+E16/100)-B16/4+H16/4</f>
        <v>29.1032538725284</v>
      </c>
      <c r="J16" s="10" t="n">
        <f aca="false">(1+D16/400)*(F16/100*'UK Construction'!D15)-B16/100*'UK Construction'!D16/4+H16/100*'UK Construction'!D16/4</f>
        <v>343600</v>
      </c>
      <c r="K16" s="11" t="n">
        <f aca="false">J16/'UK Construction'!D16*100</f>
        <v>29.1032538725284</v>
      </c>
      <c r="L16" s="11" t="n">
        <f aca="false">'UK Construction'!H16</f>
        <v>29.1032538725284</v>
      </c>
      <c r="M16" s="11" t="n">
        <f aca="false">I16-L16</f>
        <v>0</v>
      </c>
    </row>
    <row r="17" customFormat="false" ht="15" hidden="false" customHeight="false" outlineLevel="0" collapsed="false">
      <c r="A17" s="0" t="str">
        <f aca="false">'UK Construction'!A17</f>
        <v>2002-Q4</v>
      </c>
      <c r="B17" s="11" t="n">
        <f aca="false">'UK Construction'!E17-'UK Construction'!F17</f>
        <v>2.59633397675964</v>
      </c>
      <c r="C17" s="11" t="n">
        <f aca="false">'UK Construction'!J17</f>
        <v>2.86052121589939</v>
      </c>
      <c r="D17" s="11" t="n">
        <f aca="false">C17*100/F17</f>
        <v>9.82887077997672</v>
      </c>
      <c r="E17" s="11" t="n">
        <f aca="false">100*('UK Construction'!D17/'UK Construction'!D16-1)</f>
        <v>1.18767702503084</v>
      </c>
      <c r="F17" s="11" t="n">
        <f aca="false">'UK Construction'!H16</f>
        <v>29.1032538725284</v>
      </c>
      <c r="G17" s="11" t="n">
        <f aca="false">((1+D17/400)/(1+E17/100)-1)*F17</f>
        <v>0.365140949033779</v>
      </c>
      <c r="H17" s="11" t="n">
        <f aca="false">4*(L17-F17-G17+B17/4)</f>
        <v>8.17355099334864</v>
      </c>
      <c r="I17" s="11" t="n">
        <f aca="false">F17*(1+D17/400)/(1+E17/100)-B17/4+H17/4</f>
        <v>30.8626990757095</v>
      </c>
      <c r="J17" s="10" t="n">
        <f aca="false">(1+D17/400)*(F17/100*'UK Construction'!D16)-B17/100*'UK Construction'!D17/4+H17/100*'UK Construction'!D17/4</f>
        <v>368700</v>
      </c>
      <c r="K17" s="11" t="n">
        <f aca="false">J17/'UK Construction'!D17*100</f>
        <v>30.8626990757095</v>
      </c>
      <c r="L17" s="11" t="n">
        <f aca="false">'UK Construction'!H17</f>
        <v>30.8626990757095</v>
      </c>
      <c r="M17" s="11" t="n">
        <f aca="false">I17-L17</f>
        <v>0</v>
      </c>
    </row>
    <row r="18" customFormat="false" ht="15" hidden="false" customHeight="false" outlineLevel="0" collapsed="false">
      <c r="A18" s="0" t="str">
        <f aca="false">'UK Construction'!A18</f>
        <v>2003-Q1</v>
      </c>
      <c r="B18" s="11" t="n">
        <f aca="false">'UK Construction'!E18-'UK Construction'!F18</f>
        <v>1.87181795912422</v>
      </c>
      <c r="C18" s="11" t="n">
        <f aca="false">'UK Construction'!J18</f>
        <v>2.48140453322574</v>
      </c>
      <c r="D18" s="11" t="n">
        <f aca="false">C18*100/F18</f>
        <v>8.04014103607269</v>
      </c>
      <c r="E18" s="11" t="n">
        <f aca="false">100*('UK Construction'!D18/'UK Construction'!D17-1)</f>
        <v>1.14661581757274</v>
      </c>
      <c r="F18" s="11" t="n">
        <f aca="false">'UK Construction'!H17</f>
        <v>30.8626990757095</v>
      </c>
      <c r="G18" s="11" t="n">
        <f aca="false">((1+D18/400)/(1+E18/100)-1)*F18</f>
        <v>0.263453741700152</v>
      </c>
      <c r="H18" s="11" t="n">
        <f aca="false">4*(L18-F18-G18+B18/4)</f>
        <v>-0.415941155829786</v>
      </c>
      <c r="I18" s="11" t="n">
        <f aca="false">F18*(1+D18/400)/(1+E18/100)-B18/4+H18/4</f>
        <v>30.5542130386711</v>
      </c>
      <c r="J18" s="10" t="n">
        <f aca="false">(1+D18/400)*(F18/100*'UK Construction'!D17)-B18/100*'UK Construction'!D18/4+H18/100*'UK Construction'!D18/4</f>
        <v>369200</v>
      </c>
      <c r="K18" s="11" t="n">
        <f aca="false">J18/'UK Construction'!D18*100</f>
        <v>30.5542130386711</v>
      </c>
      <c r="L18" s="11" t="n">
        <f aca="false">'UK Construction'!H18</f>
        <v>30.5542130386711</v>
      </c>
      <c r="M18" s="11" t="n">
        <f aca="false">I18-L18</f>
        <v>0</v>
      </c>
    </row>
    <row r="19" customFormat="false" ht="15" hidden="false" customHeight="false" outlineLevel="0" collapsed="false">
      <c r="A19" s="0" t="str">
        <f aca="false">'UK Construction'!A19</f>
        <v>2003-Q2</v>
      </c>
      <c r="B19" s="11" t="n">
        <f aca="false">'UK Construction'!E19-'UK Construction'!F19</f>
        <v>1.52689952210918</v>
      </c>
      <c r="C19" s="11" t="n">
        <f aca="false">'UK Construction'!J19</f>
        <v>2.77272035115828</v>
      </c>
      <c r="D19" s="11" t="n">
        <f aca="false">C19*100/F19</f>
        <v>9.07475622968581</v>
      </c>
      <c r="E19" s="11" t="n">
        <f aca="false">100*('UK Construction'!D19/'UK Construction'!D18-1)</f>
        <v>1.3756016498613</v>
      </c>
      <c r="F19" s="11" t="n">
        <f aca="false">'UK Construction'!H18</f>
        <v>30.5542130386711</v>
      </c>
      <c r="G19" s="11" t="n">
        <f aca="false">((1+D19/400)/(1+E19/100)-1)*F19</f>
        <v>0.269173079800751</v>
      </c>
      <c r="H19" s="11" t="n">
        <f aca="false">4*(L19-F19-G19+B19/4)</f>
        <v>0.849003156005957</v>
      </c>
      <c r="I19" s="11" t="n">
        <f aca="false">F19*(1+D19/400)/(1+E19/100)-B19/4+H19/4</f>
        <v>30.6539120269461</v>
      </c>
      <c r="J19" s="10" t="n">
        <f aca="false">(1+D19/400)*(F19/100*'UK Construction'!D18)-B19/100*'UK Construction'!D19/4+H19/100*'UK Construction'!D19/4</f>
        <v>375500</v>
      </c>
      <c r="K19" s="11" t="n">
        <f aca="false">J19/'UK Construction'!D19*100</f>
        <v>30.6539120269461</v>
      </c>
      <c r="L19" s="11" t="n">
        <f aca="false">'UK Construction'!H19</f>
        <v>30.6539120269461</v>
      </c>
      <c r="M19" s="11" t="n">
        <f aca="false">I19-L19</f>
        <v>0</v>
      </c>
    </row>
    <row r="20" customFormat="false" ht="15" hidden="false" customHeight="false" outlineLevel="0" collapsed="false">
      <c r="A20" s="0" t="str">
        <f aca="false">'UK Construction'!A20</f>
        <v>2003-Q3</v>
      </c>
      <c r="B20" s="11" t="n">
        <f aca="false">'UK Construction'!E20-'UK Construction'!F20</f>
        <v>1.11593613391877</v>
      </c>
      <c r="C20" s="11" t="n">
        <f aca="false">'UK Construction'!J20</f>
        <v>2.49900813573601</v>
      </c>
      <c r="D20" s="11" t="n">
        <f aca="false">C20*100/F20</f>
        <v>8.15233022636485</v>
      </c>
      <c r="E20" s="11" t="n">
        <f aca="false">100*('UK Construction'!D20/'UK Construction'!D19-1)</f>
        <v>1.55204307711398</v>
      </c>
      <c r="F20" s="11" t="n">
        <f aca="false">'UK Construction'!H19</f>
        <v>30.6539120269461</v>
      </c>
      <c r="G20" s="11" t="n">
        <f aca="false">((1+D20/400)/(1+E20/100)-1)*F20</f>
        <v>0.146713064494471</v>
      </c>
      <c r="H20" s="11" t="n">
        <f aca="false">4*(L20-F20-G20+B20/4)</f>
        <v>1.19535876036393</v>
      </c>
      <c r="I20" s="11" t="n">
        <f aca="false">F20*(1+D20/400)/(1+E20/100)-B20/4+H20/4</f>
        <v>30.8204807480518</v>
      </c>
      <c r="J20" s="10" t="n">
        <f aca="false">(1+D20/400)*(F20/100*'UK Construction'!D19)-B20/100*'UK Construction'!D20/4+H20/100*'UK Construction'!D20/4</f>
        <v>383400</v>
      </c>
      <c r="K20" s="11" t="n">
        <f aca="false">J20/'UK Construction'!D20*100</f>
        <v>30.8204807480518</v>
      </c>
      <c r="L20" s="11" t="n">
        <f aca="false">'UK Construction'!H20</f>
        <v>30.8204807480518</v>
      </c>
      <c r="M20" s="11" t="n">
        <f aca="false">I20-L20</f>
        <v>0</v>
      </c>
    </row>
    <row r="21" customFormat="false" ht="15" hidden="false" customHeight="false" outlineLevel="0" collapsed="false">
      <c r="A21" s="0" t="str">
        <f aca="false">'UK Construction'!A21</f>
        <v>2003-Q4</v>
      </c>
      <c r="B21" s="11" t="n">
        <f aca="false">'UK Construction'!E21-'UK Construction'!F21</f>
        <v>1.06756266524726</v>
      </c>
      <c r="C21" s="11" t="n">
        <f aca="false">'UK Construction'!J21</f>
        <v>2.85117582465285</v>
      </c>
      <c r="D21" s="11" t="n">
        <f aca="false">C21*100/F21</f>
        <v>9.2509128847157</v>
      </c>
      <c r="E21" s="11" t="n">
        <f aca="false">100*('UK Construction'!D21/'UK Construction'!D20-1)</f>
        <v>1.48909385857305</v>
      </c>
      <c r="F21" s="11" t="n">
        <f aca="false">'UK Construction'!H20</f>
        <v>30.8204807480518</v>
      </c>
      <c r="G21" s="11" t="n">
        <f aca="false">((1+D21/400)/(1+E21/100)-1)*F21</f>
        <v>0.250123496535519</v>
      </c>
      <c r="H21" s="11" t="n">
        <f aca="false">4*(L21-F21-G21+B21/4)</f>
        <v>4.97504162369644</v>
      </c>
      <c r="I21" s="11" t="n">
        <f aca="false">F21*(1+D21/400)/(1+E21/100)-B21/4+H21/4</f>
        <v>32.0474739841996</v>
      </c>
      <c r="J21" s="10" t="n">
        <f aca="false">(1+D21/400)*(F21/100*'UK Construction'!D20)-B21/100*'UK Construction'!D21/4+H21/100*'UK Construction'!D21/4</f>
        <v>404600</v>
      </c>
      <c r="K21" s="11" t="n">
        <f aca="false">J21/'UK Construction'!D21*100</f>
        <v>32.0474739841996</v>
      </c>
      <c r="L21" s="11" t="n">
        <f aca="false">'UK Construction'!H21</f>
        <v>32.0474739841996</v>
      </c>
      <c r="M21" s="11" t="n">
        <f aca="false">I21-L21</f>
        <v>0</v>
      </c>
    </row>
    <row r="22" customFormat="false" ht="15" hidden="false" customHeight="false" outlineLevel="0" collapsed="false">
      <c r="A22" s="0" t="str">
        <f aca="false">'UK Construction'!A22</f>
        <v>2004-Q1</v>
      </c>
      <c r="B22" s="11" t="n">
        <f aca="false">'UK Construction'!E22-'UK Construction'!F22</f>
        <v>1.32416007804719</v>
      </c>
      <c r="C22" s="11" t="n">
        <f aca="false">'UK Construction'!J22</f>
        <v>2.4620951095523</v>
      </c>
      <c r="D22" s="11" t="n">
        <f aca="false">C22*100/F22</f>
        <v>7.6826495304004</v>
      </c>
      <c r="E22" s="11" t="n">
        <f aca="false">100*('UK Construction'!D22/'UK Construction'!D21-1)</f>
        <v>1.32467116883774</v>
      </c>
      <c r="F22" s="11" t="n">
        <f aca="false">'UK Construction'!H21</f>
        <v>32.0474739841996</v>
      </c>
      <c r="G22" s="11" t="n">
        <f aca="false">((1+D22/400)/(1+E22/100)-1)*F22</f>
        <v>0.188503083183308</v>
      </c>
      <c r="H22" s="11" t="n">
        <f aca="false">4*(L22-F22-G22+B22/4)</f>
        <v>-1.13701566415943</v>
      </c>
      <c r="I22" s="11" t="n">
        <f aca="false">F22*(1+D22/400)/(1+E22/100)-B22/4+H22/4</f>
        <v>31.6206831318313</v>
      </c>
      <c r="J22" s="10" t="n">
        <f aca="false">(1+D22/400)*(F22/100*'UK Construction'!D21)-B22/100*'UK Construction'!D22/4+H22/100*'UK Construction'!D22/4</f>
        <v>404500</v>
      </c>
      <c r="K22" s="11" t="n">
        <f aca="false">J22/'UK Construction'!D22*100</f>
        <v>31.6206831318313</v>
      </c>
      <c r="L22" s="11" t="n">
        <f aca="false">'UK Construction'!H22</f>
        <v>31.6206831318313</v>
      </c>
      <c r="M22" s="11" t="n">
        <f aca="false">I22-L22</f>
        <v>0</v>
      </c>
    </row>
    <row r="23" customFormat="false" ht="15" hidden="false" customHeight="false" outlineLevel="0" collapsed="false">
      <c r="A23" s="0" t="str">
        <f aca="false">'UK Construction'!A23</f>
        <v>2004-Q2</v>
      </c>
      <c r="B23" s="11" t="n">
        <f aca="false">'UK Construction'!E23-'UK Construction'!F23</f>
        <v>1.18958563088527</v>
      </c>
      <c r="C23" s="11" t="n">
        <f aca="false">'UK Construction'!J23</f>
        <v>2.73384061924945</v>
      </c>
      <c r="D23" s="11" t="n">
        <f aca="false">C23*100/F23</f>
        <v>8.64573547589617</v>
      </c>
      <c r="E23" s="11" t="n">
        <f aca="false">100*('UK Construction'!D23/'UK Construction'!D22-1)</f>
        <v>1.36363707429337</v>
      </c>
      <c r="F23" s="11" t="n">
        <f aca="false">'UK Construction'!H22</f>
        <v>31.6206831318313</v>
      </c>
      <c r="G23" s="11" t="n">
        <f aca="false">((1+D23/400)/(1+E23/100)-1)*F23</f>
        <v>0.248875044111717</v>
      </c>
      <c r="H23" s="11" t="n">
        <f aca="false">4*(L23-F23-G23+B23/4)</f>
        <v>6.42052334055696</v>
      </c>
      <c r="I23" s="11" t="n">
        <f aca="false">F23*(1+D23/400)/(1+E23/100)-B23/4+H23/4</f>
        <v>33.1772926033609</v>
      </c>
      <c r="J23" s="10" t="n">
        <f aca="false">(1+D23/400)*(F23/100*'UK Construction'!D22)-B23/100*'UK Construction'!D23/4+H23/100*'UK Construction'!D23/4</f>
        <v>430200</v>
      </c>
      <c r="K23" s="11" t="n">
        <f aca="false">J23/'UK Construction'!D23*100</f>
        <v>33.1772926033609</v>
      </c>
      <c r="L23" s="11" t="n">
        <f aca="false">'UK Construction'!H23</f>
        <v>33.1772926033609</v>
      </c>
      <c r="M23" s="11" t="n">
        <f aca="false">I23-L23</f>
        <v>0</v>
      </c>
    </row>
    <row r="24" customFormat="false" ht="15" hidden="false" customHeight="false" outlineLevel="0" collapsed="false">
      <c r="A24" s="0" t="str">
        <f aca="false">'UK Construction'!A24</f>
        <v>2004-Q3</v>
      </c>
      <c r="B24" s="11" t="n">
        <f aca="false">'UK Construction'!E24-'UK Construction'!F24</f>
        <v>1.18200765771231</v>
      </c>
      <c r="C24" s="11" t="n">
        <f aca="false">'UK Construction'!J24</f>
        <v>2.66127850571078</v>
      </c>
      <c r="D24" s="11" t="n">
        <f aca="false">C24*100/F24</f>
        <v>8.02138540213854</v>
      </c>
      <c r="E24" s="11" t="n">
        <f aca="false">100*('UK Construction'!D24/'UK Construction'!D23-1)</f>
        <v>1.05215667826046</v>
      </c>
      <c r="F24" s="11" t="n">
        <f aca="false">'UK Construction'!H23</f>
        <v>33.1772926033609</v>
      </c>
      <c r="G24" s="11" t="n">
        <f aca="false">((1+D24/400)/(1+E24/100)-1)*F24</f>
        <v>0.312949804369148</v>
      </c>
      <c r="H24" s="11" t="n">
        <f aca="false">4*(L24-F24-G24+B24/4)</f>
        <v>0.92954889404284</v>
      </c>
      <c r="I24" s="11" t="n">
        <f aca="false">F24*(1+D24/400)/(1+E24/100)-B24/4+H24/4</f>
        <v>33.4271277168127</v>
      </c>
      <c r="J24" s="10" t="n">
        <f aca="false">(1+D24/400)*(F24/100*'UK Construction'!D23)-B24/100*'UK Construction'!D24/4+H24/100*'UK Construction'!D24/4</f>
        <v>438000</v>
      </c>
      <c r="K24" s="11" t="n">
        <f aca="false">J24/'UK Construction'!D24*100</f>
        <v>33.4271277168127</v>
      </c>
      <c r="L24" s="11" t="n">
        <f aca="false">'UK Construction'!H24</f>
        <v>33.4271277168127</v>
      </c>
      <c r="M24" s="11" t="n">
        <f aca="false">I24-L24</f>
        <v>0</v>
      </c>
    </row>
    <row r="25" customFormat="false" ht="15" hidden="false" customHeight="false" outlineLevel="0" collapsed="false">
      <c r="A25" s="0" t="str">
        <f aca="false">'UK Construction'!A25</f>
        <v>2004-Q4</v>
      </c>
      <c r="B25" s="11" t="n">
        <f aca="false">'UK Construction'!E25-'UK Construction'!F25</f>
        <v>1.15036586110163</v>
      </c>
      <c r="C25" s="11" t="n">
        <f aca="false">'UK Construction'!J25</f>
        <v>2.99775702446667</v>
      </c>
      <c r="D25" s="11" t="n">
        <f aca="false">C25*100/F25</f>
        <v>8.96803652968037</v>
      </c>
      <c r="E25" s="11" t="n">
        <f aca="false">100*('UK Construction'!D25/'UK Construction'!D24-1)</f>
        <v>1.28442593487206</v>
      </c>
      <c r="F25" s="11" t="n">
        <f aca="false">'UK Construction'!H24</f>
        <v>33.4271277168127</v>
      </c>
      <c r="G25" s="11" t="n">
        <f aca="false">((1+D25/400)/(1+E25/100)-1)*F25</f>
        <v>0.316033344203333</v>
      </c>
      <c r="H25" s="11" t="n">
        <f aca="false">4*(L25-F25-G25+B25/4)</f>
        <v>5.96672702188082</v>
      </c>
      <c r="I25" s="11" t="n">
        <f aca="false">F25*(1+D25/400)/(1+E25/100)-B25/4+H25/4</f>
        <v>34.9472513512108</v>
      </c>
      <c r="J25" s="10" t="n">
        <f aca="false">(1+D25/400)*(F25/100*'UK Construction'!D24)-B25/100*'UK Construction'!D25/4+H25/100*'UK Construction'!D25/4</f>
        <v>463800</v>
      </c>
      <c r="K25" s="11" t="n">
        <f aca="false">J25/'UK Construction'!D25*100</f>
        <v>34.9472513512108</v>
      </c>
      <c r="L25" s="11" t="n">
        <f aca="false">'UK Construction'!H25</f>
        <v>34.9472513512108</v>
      </c>
      <c r="M25" s="11" t="n">
        <f aca="false">I25-L25</f>
        <v>0</v>
      </c>
    </row>
    <row r="26" customFormat="false" ht="15" hidden="false" customHeight="false" outlineLevel="0" collapsed="false">
      <c r="A26" s="0" t="str">
        <f aca="false">'UK Construction'!A26</f>
        <v>2005-Q1</v>
      </c>
      <c r="B26" s="11" t="n">
        <f aca="false">'UK Construction'!E26-'UK Construction'!F26</f>
        <v>1.04500543622954</v>
      </c>
      <c r="C26" s="11" t="n">
        <f aca="false">'UK Construction'!J26</f>
        <v>2.77950454472502</v>
      </c>
      <c r="D26" s="11" t="n">
        <f aca="false">C26*100/F26</f>
        <v>7.95342820181113</v>
      </c>
      <c r="E26" s="11" t="n">
        <f aca="false">100*('UK Construction'!D26/'UK Construction'!D25-1)</f>
        <v>1.32156067582769</v>
      </c>
      <c r="F26" s="11" t="n">
        <f aca="false">'UK Construction'!H25</f>
        <v>34.9472513512108</v>
      </c>
      <c r="G26" s="11" t="n">
        <f aca="false">((1+D26/400)/(1+E26/100)-1)*F26</f>
        <v>0.229987579629318</v>
      </c>
      <c r="H26" s="11" t="n">
        <f aca="false">4*(L26-F26-G26+B26/4)</f>
        <v>-2.5609028751779</v>
      </c>
      <c r="I26" s="11" t="n">
        <f aca="false">F26*(1+D26/400)/(1+E26/100)-B26/4+H26/4</f>
        <v>34.2757618529883</v>
      </c>
      <c r="J26" s="10" t="n">
        <f aca="false">(1+D26/400)*(F26/100*'UK Construction'!D25)-B26/100*'UK Construction'!D26/4+H26/100*'UK Construction'!D26/4</f>
        <v>460900</v>
      </c>
      <c r="K26" s="11" t="n">
        <f aca="false">J26/'UK Construction'!D26*100</f>
        <v>34.2757618529883</v>
      </c>
      <c r="L26" s="11" t="n">
        <f aca="false">'UK Construction'!H26</f>
        <v>34.2757618529883</v>
      </c>
      <c r="M26" s="11" t="n">
        <f aca="false">I26-L26</f>
        <v>0</v>
      </c>
    </row>
    <row r="27" customFormat="false" ht="15" hidden="false" customHeight="false" outlineLevel="0" collapsed="false">
      <c r="A27" s="0" t="str">
        <f aca="false">'UK Construction'!A27</f>
        <v>2005-Q2</v>
      </c>
      <c r="B27" s="11" t="n">
        <f aca="false">'UK Construction'!E27-'UK Construction'!F27</f>
        <v>1.33845161848774</v>
      </c>
      <c r="C27" s="11" t="n">
        <f aca="false">'UK Construction'!J27</f>
        <v>2.92173168079888</v>
      </c>
      <c r="D27" s="11" t="n">
        <f aca="false">C27*100/F27</f>
        <v>8.52419179865481</v>
      </c>
      <c r="E27" s="11" t="n">
        <f aca="false">100*('UK Construction'!D27/'UK Construction'!D26-1)</f>
        <v>1.37839280960108</v>
      </c>
      <c r="F27" s="11" t="n">
        <f aca="false">'UK Construction'!H26</f>
        <v>34.2757618529883</v>
      </c>
      <c r="G27" s="11" t="n">
        <f aca="false">((1+D27/400)/(1+E27/100)-1)*F27</f>
        <v>0.254470677856028</v>
      </c>
      <c r="H27" s="11" t="n">
        <f aca="false">4*(L27-F27-G27+B27/4)</f>
        <v>2.09489758417041</v>
      </c>
      <c r="I27" s="11" t="n">
        <f aca="false">F27*(1+D27/400)/(1+E27/100)-B27/4+H27/4</f>
        <v>34.719344022265</v>
      </c>
      <c r="J27" s="10" t="n">
        <f aca="false">(1+D27/400)*(F27/100*'UK Construction'!D26)-B27/100*'UK Construction'!D27/4+H27/100*'UK Construction'!D27/4</f>
        <v>473300</v>
      </c>
      <c r="K27" s="11" t="n">
        <f aca="false">J27/'UK Construction'!D27*100</f>
        <v>34.719344022265</v>
      </c>
      <c r="L27" s="11" t="n">
        <f aca="false">'UK Construction'!H27</f>
        <v>34.719344022265</v>
      </c>
      <c r="M27" s="11" t="n">
        <f aca="false">I27-L27</f>
        <v>0</v>
      </c>
    </row>
    <row r="28" customFormat="false" ht="15" hidden="false" customHeight="false" outlineLevel="0" collapsed="false">
      <c r="A28" s="0" t="str">
        <f aca="false">'UK Construction'!A28</f>
        <v>2005-Q3</v>
      </c>
      <c r="B28" s="11" t="n">
        <f aca="false">'UK Construction'!E28-'UK Construction'!F28</f>
        <v>1.56568455260118</v>
      </c>
      <c r="C28" s="11" t="n">
        <f aca="false">'UK Construction'!J28</f>
        <v>2.71152721833721</v>
      </c>
      <c r="D28" s="11" t="n">
        <f aca="false">C28*100/F28</f>
        <v>7.80984576378618</v>
      </c>
      <c r="E28" s="11" t="n">
        <f aca="false">100*('UK Construction'!D28/'UK Construction'!D27-1)</f>
        <v>1.53357829311107</v>
      </c>
      <c r="F28" s="11" t="n">
        <f aca="false">'UK Construction'!H27</f>
        <v>34.719344022265</v>
      </c>
      <c r="G28" s="11" t="n">
        <f aca="false">((1+D28/400)/(1+E28/100)-1)*F28</f>
        <v>0.143236832182203</v>
      </c>
      <c r="H28" s="11" t="n">
        <f aca="false">4*(L28-F28-G28+B28/4)</f>
        <v>1.78502922066896</v>
      </c>
      <c r="I28" s="11" t="n">
        <f aca="false">F28*(1+D28/400)/(1+E28/100)-B28/4+H28/4</f>
        <v>34.9174170214641</v>
      </c>
      <c r="J28" s="10" t="n">
        <f aca="false">(1+D28/400)*(F28/100*'UK Construction'!D27)-B28/100*'UK Construction'!D28/4+H28/100*'UK Construction'!D28/4</f>
        <v>483300</v>
      </c>
      <c r="K28" s="11" t="n">
        <f aca="false">J28/'UK Construction'!D28*100</f>
        <v>34.9174170214641</v>
      </c>
      <c r="L28" s="11" t="n">
        <f aca="false">'UK Construction'!H28</f>
        <v>34.9174170214641</v>
      </c>
      <c r="M28" s="11" t="n">
        <f aca="false">I28-L28</f>
        <v>0</v>
      </c>
    </row>
    <row r="29" customFormat="false" ht="15" hidden="false" customHeight="false" outlineLevel="0" collapsed="false">
      <c r="A29" s="0" t="str">
        <f aca="false">'UK Construction'!A29</f>
        <v>2005-Q4</v>
      </c>
      <c r="B29" s="11" t="n">
        <f aca="false">'UK Construction'!E29-'UK Construction'!F29</f>
        <v>1.51555426014912</v>
      </c>
      <c r="C29" s="11" t="n">
        <f aca="false">'UK Construction'!J29</f>
        <v>3.03412341244239</v>
      </c>
      <c r="D29" s="11" t="n">
        <f aca="false">C29*100/F29</f>
        <v>8.68942685702462</v>
      </c>
      <c r="E29" s="11" t="n">
        <f aca="false">100*('UK Construction'!D29/'UK Construction'!D28-1)</f>
        <v>1.38181361049561</v>
      </c>
      <c r="F29" s="11" t="n">
        <f aca="false">'UK Construction'!H28</f>
        <v>34.9174170214641</v>
      </c>
      <c r="G29" s="11" t="n">
        <f aca="false">((1+D29/400)/(1+E29/100)-1)*F29</f>
        <v>0.272274900639496</v>
      </c>
      <c r="H29" s="11" t="n">
        <f aca="false">4*(L29-F29-G29+B29/4)</f>
        <v>4.28085108202467</v>
      </c>
      <c r="I29" s="11" t="n">
        <f aca="false">F29*(1+D29/400)/(1+E29/100)-B29/4+H29/4</f>
        <v>35.8810161275725</v>
      </c>
      <c r="J29" s="10" t="n">
        <f aca="false">(1+D29/400)*(F29/100*'UK Construction'!D28)-B29/100*'UK Construction'!D29/4+H29/100*'UK Construction'!D29/4</f>
        <v>503500</v>
      </c>
      <c r="K29" s="11" t="n">
        <f aca="false">J29/'UK Construction'!D29*100</f>
        <v>35.8810161275725</v>
      </c>
      <c r="L29" s="11" t="n">
        <f aca="false">'UK Construction'!H29</f>
        <v>35.8810161275725</v>
      </c>
      <c r="M29" s="11" t="n">
        <f aca="false">I29-L29</f>
        <v>0</v>
      </c>
    </row>
    <row r="30" customFormat="false" ht="15" hidden="false" customHeight="false" outlineLevel="0" collapsed="false">
      <c r="A30" s="0" t="str">
        <f aca="false">'UK Construction'!A30</f>
        <v>2006-Q1</v>
      </c>
      <c r="B30" s="11" t="n">
        <f aca="false">'UK Construction'!E30-'UK Construction'!F30</f>
        <v>1.76516234142436</v>
      </c>
      <c r="C30" s="11" t="n">
        <f aca="false">'UK Construction'!J30</f>
        <v>2.69203826263194</v>
      </c>
      <c r="D30" s="11" t="n">
        <f aca="false">C30*100/F30</f>
        <v>7.50268123138034</v>
      </c>
      <c r="E30" s="11" t="n">
        <f aca="false">100*('UK Construction'!D30/'UK Construction'!D29-1)</f>
        <v>1.47913877009711</v>
      </c>
      <c r="F30" s="11" t="n">
        <f aca="false">'UK Construction'!H29</f>
        <v>35.8810161275725</v>
      </c>
      <c r="G30" s="11" t="n">
        <f aca="false">((1+D30/400)/(1+E30/100)-1)*F30</f>
        <v>0.140205708024974</v>
      </c>
      <c r="H30" s="11" t="n">
        <f aca="false">4*(L30-F30-G30+B30/4)</f>
        <v>-2.03931868216755</v>
      </c>
      <c r="I30" s="11" t="n">
        <f aca="false">F30*(1+D30/400)/(1+E30/100)-B30/4+H30/4</f>
        <v>35.0701015796995</v>
      </c>
      <c r="J30" s="10" t="n">
        <f aca="false">(1+D30/400)*(F30/100*'UK Construction'!D29)-B30/100*'UK Construction'!D30/4+H30/100*'UK Construction'!D30/4</f>
        <v>499400</v>
      </c>
      <c r="K30" s="11" t="n">
        <f aca="false">J30/'UK Construction'!D30*100</f>
        <v>35.0701015796995</v>
      </c>
      <c r="L30" s="11" t="n">
        <f aca="false">'UK Construction'!H30</f>
        <v>35.0701015796995</v>
      </c>
      <c r="M30" s="11" t="n">
        <f aca="false">I30-L30</f>
        <v>0</v>
      </c>
    </row>
    <row r="31" customFormat="false" ht="15" hidden="false" customHeight="false" outlineLevel="0" collapsed="false">
      <c r="A31" s="0" t="str">
        <f aca="false">'UK Construction'!A31</f>
        <v>2006-Q2</v>
      </c>
      <c r="B31" s="11" t="n">
        <f aca="false">'UK Construction'!E31-'UK Construction'!F31</f>
        <v>1.81845903286727</v>
      </c>
      <c r="C31" s="11" t="n">
        <f aca="false">'UK Construction'!J31</f>
        <v>2.86600117274869</v>
      </c>
      <c r="D31" s="11" t="n">
        <f aca="false">C31*100/F31</f>
        <v>8.17220664797757</v>
      </c>
      <c r="E31" s="11" t="n">
        <f aca="false">100*('UK Construction'!D31/'UK Construction'!D30-1)</f>
        <v>1.32864702020008</v>
      </c>
      <c r="F31" s="11" t="n">
        <f aca="false">'UK Construction'!H30</f>
        <v>35.0701015796995</v>
      </c>
      <c r="G31" s="11" t="n">
        <f aca="false">((1+D31/400)/(1+E31/100)-1)*F31</f>
        <v>0.24725725738488</v>
      </c>
      <c r="H31" s="11" t="n">
        <f aca="false">4*(L31-F31-G31+B31/4)</f>
        <v>4.70066011746973</v>
      </c>
      <c r="I31" s="11" t="n">
        <f aca="false">F31*(1+D31/400)/(1+E31/100)-B31/4+H31/4</f>
        <v>36.037909108235</v>
      </c>
      <c r="J31" s="10" t="n">
        <f aca="false">(1+D31/400)*(F31/100*'UK Construction'!D30)-B31/100*'UK Construction'!D31/4+H31/100*'UK Construction'!D31/4</f>
        <v>520000</v>
      </c>
      <c r="K31" s="11" t="n">
        <f aca="false">J31/'UK Construction'!D31*100</f>
        <v>36.037909108235</v>
      </c>
      <c r="L31" s="11" t="n">
        <f aca="false">'UK Construction'!H31</f>
        <v>36.037909108235</v>
      </c>
      <c r="M31" s="11" t="n">
        <f aca="false">I31-L31</f>
        <v>0</v>
      </c>
    </row>
    <row r="32" customFormat="false" ht="15" hidden="false" customHeight="false" outlineLevel="0" collapsed="false">
      <c r="A32" s="0" t="str">
        <f aca="false">'UK Construction'!A32</f>
        <v>2006-Q3</v>
      </c>
      <c r="B32" s="11" t="n">
        <f aca="false">'UK Construction'!E32-'UK Construction'!F32</f>
        <v>1.82315231077853</v>
      </c>
      <c r="C32" s="11" t="n">
        <f aca="false">'UK Construction'!J32</f>
        <v>2.75690004677998</v>
      </c>
      <c r="D32" s="11" t="n">
        <f aca="false">C32*100/F32</f>
        <v>7.65</v>
      </c>
      <c r="E32" s="11" t="n">
        <f aca="false">100*('UK Construction'!D32/'UK Construction'!D31-1)</f>
        <v>1.327719735953</v>
      </c>
      <c r="F32" s="11" t="n">
        <f aca="false">'UK Construction'!H31</f>
        <v>36.037909108235</v>
      </c>
      <c r="G32" s="11" t="n">
        <f aca="false">((1+D32/400)/(1+E32/100)-1)*F32</f>
        <v>0.207981172959703</v>
      </c>
      <c r="H32" s="11" t="n">
        <f aca="false">4*(L32-F32-G32+B32/4)</f>
        <v>0.3608550266982</v>
      </c>
      <c r="I32" s="11" t="n">
        <f aca="false">F32*(1+D32/400)/(1+E32/100)-B32/4+H32/4</f>
        <v>35.8803159601746</v>
      </c>
      <c r="J32" s="10" t="n">
        <f aca="false">(1+D32/400)*(F32/100*'UK Construction'!D31)-B32/100*'UK Construction'!D32/4+H32/100*'UK Construction'!D32/4</f>
        <v>524600</v>
      </c>
      <c r="K32" s="11" t="n">
        <f aca="false">J32/'UK Construction'!D32*100</f>
        <v>35.8803159601746</v>
      </c>
      <c r="L32" s="11" t="n">
        <f aca="false">'UK Construction'!H32</f>
        <v>35.8803159601746</v>
      </c>
      <c r="M32" s="11" t="n">
        <f aca="false">I32-L32</f>
        <v>0</v>
      </c>
    </row>
    <row r="33" customFormat="false" ht="15" hidden="false" customHeight="false" outlineLevel="0" collapsed="false">
      <c r="A33" s="0" t="str">
        <f aca="false">'UK Construction'!A33</f>
        <v>2006-Q4</v>
      </c>
      <c r="B33" s="11" t="n">
        <f aca="false">'UK Construction'!E33-'UK Construction'!F33</f>
        <v>2.06666756873782</v>
      </c>
      <c r="C33" s="11" t="n">
        <f aca="false">'UK Construction'!J33</f>
        <v>3.14756412597643</v>
      </c>
      <c r="D33" s="11" t="n">
        <f aca="false">C33*100/F33</f>
        <v>8.77239801753717</v>
      </c>
      <c r="E33" s="11" t="n">
        <f aca="false">100*('UK Construction'!D33/'UK Construction'!D32-1)</f>
        <v>1.09412393140471</v>
      </c>
      <c r="F33" s="11" t="n">
        <f aca="false">'UK Construction'!H32</f>
        <v>35.8803159601746</v>
      </c>
      <c r="G33" s="11" t="n">
        <f aca="false">((1+D33/400)/(1+E33/100)-1)*F33</f>
        <v>0.390048296157908</v>
      </c>
      <c r="H33" s="11" t="n">
        <f aca="false">4*(L33-F33-G33+B33/4)</f>
        <v>2.85011636717906</v>
      </c>
      <c r="I33" s="11" t="n">
        <f aca="false">F33*(1+D33/400)/(1+E33/100)-B33/4+H33/4</f>
        <v>36.4662264559429</v>
      </c>
      <c r="J33" s="10" t="n">
        <f aca="false">(1+D33/400)*(F33/100*'UK Construction'!D32)-B33/100*'UK Construction'!D33/4+H33/100*'UK Construction'!D33/4</f>
        <v>539000</v>
      </c>
      <c r="K33" s="11" t="n">
        <f aca="false">J33/'UK Construction'!D33*100</f>
        <v>36.4662264559429</v>
      </c>
      <c r="L33" s="11" t="n">
        <f aca="false">'UK Construction'!H33</f>
        <v>36.4662264559428</v>
      </c>
      <c r="M33" s="11" t="n">
        <f aca="false">I33-L33</f>
        <v>0</v>
      </c>
    </row>
    <row r="34" customFormat="false" ht="15" hidden="false" customHeight="false" outlineLevel="0" collapsed="false">
      <c r="A34" s="0" t="str">
        <f aca="false">'UK Construction'!A34</f>
        <v>2007-Q1</v>
      </c>
      <c r="B34" s="11" t="n">
        <f aca="false">'UK Construction'!E34-'UK Construction'!F34</f>
        <v>2.35216245682349</v>
      </c>
      <c r="C34" s="11" t="n">
        <f aca="false">'UK Construction'!J34</f>
        <v>2.96655120155878</v>
      </c>
      <c r="D34" s="11" t="n">
        <f aca="false">C34*100/F34</f>
        <v>8.13506493506494</v>
      </c>
      <c r="E34" s="11" t="n">
        <f aca="false">100*('UK Construction'!D34/'UK Construction'!D33-1)</f>
        <v>1.08769484736957</v>
      </c>
      <c r="F34" s="11" t="n">
        <f aca="false">'UK Construction'!H33</f>
        <v>36.4662264559428</v>
      </c>
      <c r="G34" s="11" t="n">
        <f aca="false">((1+D34/400)/(1+E34/100)-1)*F34</f>
        <v>0.341284401349922</v>
      </c>
      <c r="H34" s="11" t="n">
        <f aca="false">4*(L34-F34-G34+B34/4)</f>
        <v>-1.5997649510727</v>
      </c>
      <c r="I34" s="11" t="n">
        <f aca="false">F34*(1+D34/400)/(1+E34/100)-B34/4+H34/4</f>
        <v>35.8195290053187</v>
      </c>
      <c r="J34" s="10" t="n">
        <f aca="false">(1+D34/400)*(F34/100*'UK Construction'!D33)-B34/100*'UK Construction'!D34/4+H34/100*'UK Construction'!D34/4</f>
        <v>535200</v>
      </c>
      <c r="K34" s="11" t="n">
        <f aca="false">J34/'UK Construction'!D34*100</f>
        <v>35.8195290053187</v>
      </c>
      <c r="L34" s="11" t="n">
        <f aca="false">'UK Construction'!H34</f>
        <v>35.8195290053187</v>
      </c>
      <c r="M34" s="11" t="n">
        <f aca="false">I34-L34</f>
        <v>0</v>
      </c>
    </row>
    <row r="35" customFormat="false" ht="15" hidden="false" customHeight="false" outlineLevel="0" collapsed="false">
      <c r="A35" s="0" t="str">
        <f aca="false">'UK Construction'!A35</f>
        <v>2007-Q2</v>
      </c>
      <c r="B35" s="11" t="n">
        <f aca="false">'UK Construction'!E35-'UK Construction'!F35</f>
        <v>2.50676539921141</v>
      </c>
      <c r="C35" s="11" t="n">
        <f aca="false">'UK Construction'!J35</f>
        <v>3.11935091158426</v>
      </c>
      <c r="D35" s="11" t="n">
        <f aca="false">C35*100/F35</f>
        <v>8.7085201793722</v>
      </c>
      <c r="E35" s="11" t="n">
        <f aca="false">100*('UK Construction'!D35/'UK Construction'!D34-1)</f>
        <v>1.30019803809105</v>
      </c>
      <c r="F35" s="11" t="n">
        <f aca="false">'UK Construction'!H34</f>
        <v>35.8195290053187</v>
      </c>
      <c r="G35" s="11" t="n">
        <f aca="false">((1+D35/400)/(1+E35/100)-1)*F35</f>
        <v>0.310081244261086</v>
      </c>
      <c r="H35" s="11" t="n">
        <f aca="false">4*(L35-F35-G35+B35/4)</f>
        <v>3.655826171524</v>
      </c>
      <c r="I35" s="11" t="n">
        <f aca="false">F35*(1+D35/400)/(1+E35/100)-B35/4+H35/4</f>
        <v>36.416875442658</v>
      </c>
      <c r="J35" s="10" t="n">
        <f aca="false">(1+D35/400)*(F35/100*'UK Construction'!D34)-B35/100*'UK Construction'!D35/4+H35/100*'UK Construction'!D35/4</f>
        <v>551200</v>
      </c>
      <c r="K35" s="11" t="n">
        <f aca="false">J35/'UK Construction'!D35*100</f>
        <v>36.416875442658</v>
      </c>
      <c r="L35" s="11" t="n">
        <f aca="false">'UK Construction'!H35</f>
        <v>36.416875442658</v>
      </c>
      <c r="M35" s="11" t="n">
        <f aca="false">I35-L35</f>
        <v>0</v>
      </c>
    </row>
    <row r="36" customFormat="false" ht="15" hidden="false" customHeight="false" outlineLevel="0" collapsed="false">
      <c r="A36" s="0" t="str">
        <f aca="false">'UK Construction'!A36</f>
        <v>2007-Q3</v>
      </c>
      <c r="B36" s="11" t="n">
        <f aca="false">'UK Construction'!E36-'UK Construction'!F36</f>
        <v>2.58888331844982</v>
      </c>
      <c r="C36" s="11" t="n">
        <f aca="false">'UK Construction'!J36</f>
        <v>2.90225055233142</v>
      </c>
      <c r="D36" s="11" t="n">
        <f aca="false">C36*100/F36</f>
        <v>7.96952104499274</v>
      </c>
      <c r="E36" s="11" t="n">
        <f aca="false">100*('UK Construction'!D36/'UK Construction'!D35-1)</f>
        <v>1.20984365585259</v>
      </c>
      <c r="F36" s="11" t="n">
        <f aca="false">'UK Construction'!H35</f>
        <v>36.416875442658</v>
      </c>
      <c r="G36" s="11" t="n">
        <f aca="false">((1+D36/400)/(1+E36/100)-1)*F36</f>
        <v>0.281568838154847</v>
      </c>
      <c r="H36" s="11" t="n">
        <f aca="false">4*(L36-F36-G36+B36/4)</f>
        <v>0.191331526422132</v>
      </c>
      <c r="I36" s="11" t="n">
        <f aca="false">F36*(1+D36/400)/(1+E36/100)-B36/4+H36/4</f>
        <v>36.0990563328059</v>
      </c>
      <c r="J36" s="10" t="n">
        <f aca="false">(1+D36/400)*(F36/100*'UK Construction'!D35)-B36/100*'UK Construction'!D36/4+H36/100*'UK Construction'!D36/4</f>
        <v>553000</v>
      </c>
      <c r="K36" s="11" t="n">
        <f aca="false">J36/'UK Construction'!D36*100</f>
        <v>36.0990563328059</v>
      </c>
      <c r="L36" s="11" t="n">
        <f aca="false">'UK Construction'!H36</f>
        <v>36.0990563328059</v>
      </c>
      <c r="M36" s="11" t="n">
        <f aca="false">I36-L36</f>
        <v>0</v>
      </c>
    </row>
    <row r="37" customFormat="false" ht="15" hidden="false" customHeight="false" outlineLevel="0" collapsed="false">
      <c r="A37" s="0" t="str">
        <f aca="false">'UK Construction'!A37</f>
        <v>2007-Q4</v>
      </c>
      <c r="B37" s="11" t="n">
        <f aca="false">'UK Construction'!E37-'UK Construction'!F37</f>
        <v>2.64363171662063</v>
      </c>
      <c r="C37" s="11" t="n">
        <f aca="false">'UK Construction'!J37</f>
        <v>3.76709646085635</v>
      </c>
      <c r="D37" s="11" t="n">
        <f aca="false">C37*100/F37</f>
        <v>10.4354430379747</v>
      </c>
      <c r="E37" s="11" t="n">
        <f aca="false">100*('UK Construction'!D37/'UK Construction'!D36-1)</f>
        <v>1.29467013426499</v>
      </c>
      <c r="F37" s="11" t="n">
        <f aca="false">'UK Construction'!H36</f>
        <v>36.0990563328059</v>
      </c>
      <c r="G37" s="11" t="n">
        <f aca="false">((1+D37/400)/(1+E37/100)-1)*F37</f>
        <v>0.468346867108536</v>
      </c>
      <c r="H37" s="11" t="n">
        <f aca="false">4*(L37-F37-G37+B37/4)</f>
        <v>4.51844361998777</v>
      </c>
      <c r="I37" s="11" t="n">
        <f aca="false">F37*(1+D37/400)/(1+E37/100)-B37/4+H37/4</f>
        <v>37.0361061757562</v>
      </c>
      <c r="J37" s="10" t="n">
        <f aca="false">(1+D37/400)*(F37/100*'UK Construction'!D36)-B37/100*'UK Construction'!D37/4+H37/100*'UK Construction'!D37/4</f>
        <v>574700</v>
      </c>
      <c r="K37" s="11" t="n">
        <f aca="false">J37/'UK Construction'!D37*100</f>
        <v>37.0361061757562</v>
      </c>
      <c r="L37" s="11" t="n">
        <f aca="false">'UK Construction'!H37</f>
        <v>37.0361061757562</v>
      </c>
      <c r="M37" s="11" t="n">
        <f aca="false">I37-L37</f>
        <v>0</v>
      </c>
    </row>
    <row r="38" customFormat="false" ht="15" hidden="false" customHeight="false" outlineLevel="0" collapsed="false">
      <c r="A38" s="0" t="str">
        <f aca="false">'UK Construction'!A38</f>
        <v>2008-Q1</v>
      </c>
      <c r="B38" s="11" t="n">
        <f aca="false">'UK Construction'!E38-'UK Construction'!F38</f>
        <v>2.53494941736665</v>
      </c>
      <c r="C38" s="11" t="n">
        <f aca="false">'UK Construction'!J38</f>
        <v>3.20030108350105</v>
      </c>
      <c r="D38" s="11" t="n">
        <f aca="false">C38*100/F38</f>
        <v>8.64103010266226</v>
      </c>
      <c r="E38" s="11" t="n">
        <f aca="false">100*('UK Construction'!D38/'UK Construction'!D37-1)</f>
        <v>1.35616463957302</v>
      </c>
      <c r="F38" s="11" t="n">
        <f aca="false">'UK Construction'!H37</f>
        <v>37.0361061757562</v>
      </c>
      <c r="G38" s="11" t="n">
        <f aca="false">((1+D38/400)/(1+E38/100)-1)*F38</f>
        <v>0.293820011939025</v>
      </c>
      <c r="H38" s="11" t="n">
        <f aca="false">4*(L38-F38-G38+B38/4)</f>
        <v>-2.52999002398944</v>
      </c>
      <c r="I38" s="11" t="n">
        <f aca="false">F38*(1+D38/400)/(1+E38/100)-B38/4+H38/4</f>
        <v>36.0636913273562</v>
      </c>
      <c r="J38" s="10" t="n">
        <f aca="false">(1+D38/400)*(F38/100*'UK Construction'!D37)-B38/100*'UK Construction'!D38/4+H38/100*'UK Construction'!D38/4</f>
        <v>567200</v>
      </c>
      <c r="K38" s="11" t="n">
        <f aca="false">J38/'UK Construction'!D38*100</f>
        <v>36.0636913273562</v>
      </c>
      <c r="L38" s="11" t="n">
        <f aca="false">'UK Construction'!H38</f>
        <v>36.0636913273562</v>
      </c>
      <c r="M38" s="11" t="n">
        <f aca="false">I38-L38</f>
        <v>0</v>
      </c>
    </row>
    <row r="39" customFormat="false" ht="15" hidden="false" customHeight="false" outlineLevel="0" collapsed="false">
      <c r="A39" s="0" t="str">
        <f aca="false">'UK Construction'!A39</f>
        <v>2008-Q2</v>
      </c>
      <c r="B39" s="11" t="n">
        <f aca="false">'UK Construction'!E39-'UK Construction'!F39</f>
        <v>2.16628420212521</v>
      </c>
      <c r="C39" s="11" t="n">
        <f aca="false">'UK Construction'!J39</f>
        <v>3.55168864165395</v>
      </c>
      <c r="D39" s="11" t="n">
        <f aca="false">C39*100/F39</f>
        <v>9.84837799717913</v>
      </c>
      <c r="E39" s="11" t="n">
        <f aca="false">100*('UK Construction'!D39/'UK Construction'!D38-1)</f>
        <v>0.937071020420621</v>
      </c>
      <c r="F39" s="11" t="n">
        <f aca="false">'UK Construction'!H38</f>
        <v>36.0636913273562</v>
      </c>
      <c r="G39" s="11" t="n">
        <f aca="false">((1+D39/400)/(1+E39/100)-1)*F39</f>
        <v>0.544873904632734</v>
      </c>
      <c r="H39" s="11" t="n">
        <f aca="false">4*(L39-F39-G39+B39/4)</f>
        <v>6.93727476534024</v>
      </c>
      <c r="I39" s="11" t="n">
        <f aca="false">F39*(1+D39/400)/(1+E39/100)-B39/4+H39/4</f>
        <v>37.8013128727927</v>
      </c>
      <c r="J39" s="10" t="n">
        <f aca="false">(1+D39/400)*(F39/100*'UK Construction'!D38)-B39/100*'UK Construction'!D39/4+H39/100*'UK Construction'!D39/4</f>
        <v>600100</v>
      </c>
      <c r="K39" s="11" t="n">
        <f aca="false">J39/'UK Construction'!D39*100</f>
        <v>37.8013128727927</v>
      </c>
      <c r="L39" s="11" t="n">
        <f aca="false">'UK Construction'!H39</f>
        <v>37.8013128727927</v>
      </c>
      <c r="M39" s="11" t="n">
        <f aca="false">I39-L39</f>
        <v>0</v>
      </c>
    </row>
    <row r="40" customFormat="false" ht="15" hidden="false" customHeight="false" outlineLevel="0" collapsed="false">
      <c r="A40" s="0" t="str">
        <f aca="false">'UK Construction'!A40</f>
        <v>2008-Q3</v>
      </c>
      <c r="B40" s="11" t="n">
        <f aca="false">'UK Construction'!E40-'UK Construction'!F40</f>
        <v>1.48609479632264</v>
      </c>
      <c r="C40" s="11" t="n">
        <f aca="false">'UK Construction'!J40</f>
        <v>3.36955145507653</v>
      </c>
      <c r="D40" s="11" t="n">
        <f aca="false">C40*100/F40</f>
        <v>8.91384769205133</v>
      </c>
      <c r="E40" s="11" t="n">
        <f aca="false">100*('UK Construction'!D40/'UK Construction'!D39-1)</f>
        <v>0.708215565120485</v>
      </c>
      <c r="F40" s="11" t="n">
        <f aca="false">'UK Construction'!H39</f>
        <v>37.8013128727927</v>
      </c>
      <c r="G40" s="11" t="n">
        <f aca="false">((1+D40/400)/(1+E40/100)-1)*F40</f>
        <v>0.570631779104978</v>
      </c>
      <c r="H40" s="11" t="n">
        <f aca="false">4*(L40-F40-G40+B40/4)</f>
        <v>18.431040672924</v>
      </c>
      <c r="I40" s="11" t="n">
        <f aca="false">F40*(1+D40/400)/(1+E40/100)-B40/4+H40/4</f>
        <v>42.608181121048</v>
      </c>
      <c r="J40" s="10" t="n">
        <f aca="false">(1+D40/400)*(F40/100*'UK Construction'!D39)-B40/100*'UK Construction'!D40/4+H40/100*'UK Construction'!D40/4</f>
        <v>681200</v>
      </c>
      <c r="K40" s="11" t="n">
        <f aca="false">J40/'UK Construction'!D40*100</f>
        <v>42.608181121048</v>
      </c>
      <c r="L40" s="11" t="n">
        <f aca="false">'UK Construction'!H40</f>
        <v>42.608181121048</v>
      </c>
      <c r="M40" s="11" t="n">
        <f aca="false">I40-L40</f>
        <v>0</v>
      </c>
    </row>
    <row r="41" customFormat="false" ht="15" hidden="false" customHeight="false" outlineLevel="0" collapsed="false">
      <c r="A41" s="0" t="str">
        <f aca="false">'UK Construction'!A41</f>
        <v>2008-Q4</v>
      </c>
      <c r="B41" s="11" t="n">
        <f aca="false">'UK Construction'!E41-'UK Construction'!F41</f>
        <v>2.34375243802806</v>
      </c>
      <c r="C41" s="11" t="n">
        <f aca="false">'UK Construction'!J41</f>
        <v>9.72757534930327</v>
      </c>
      <c r="D41" s="11" t="n">
        <f aca="false">C41*100/F41</f>
        <v>22.8302994715208</v>
      </c>
      <c r="E41" s="11" t="n">
        <f aca="false">100*('UK Construction'!D41/'UK Construction'!D40-1)</f>
        <v>0.216606182064272</v>
      </c>
      <c r="F41" s="11" t="n">
        <f aca="false">'UK Construction'!H40</f>
        <v>42.608181121048</v>
      </c>
      <c r="G41" s="11" t="n">
        <f aca="false">((1+D41/400)/(1+E41/100)-1)*F41</f>
        <v>2.33454511391267</v>
      </c>
      <c r="H41" s="11" t="n">
        <f aca="false">4*(L41-F41-G41+B41/4)</f>
        <v>9.78843689712441</v>
      </c>
      <c r="I41" s="11" t="n">
        <f aca="false">F41*(1+D41/400)/(1+E41/100)-B41/4+H41/4</f>
        <v>46.8038973497348</v>
      </c>
      <c r="J41" s="10" t="n">
        <f aca="false">(1+D41/400)*(F41/100*'UK Construction'!D40)-B41/100*'UK Construction'!D41/4+H41/100*'UK Construction'!D41/4</f>
        <v>749900</v>
      </c>
      <c r="K41" s="11" t="n">
        <f aca="false">J41/'UK Construction'!D41*100</f>
        <v>46.8038973497348</v>
      </c>
      <c r="L41" s="11" t="n">
        <f aca="false">'UK Construction'!H41</f>
        <v>46.8038973497348</v>
      </c>
      <c r="M41" s="11" t="n">
        <f aca="false">I41-L41</f>
        <v>0</v>
      </c>
    </row>
    <row r="42" customFormat="false" ht="15" hidden="false" customHeight="false" outlineLevel="0" collapsed="false">
      <c r="A42" s="0" t="str">
        <f aca="false">'UK Construction'!A42</f>
        <v>2009-Q1</v>
      </c>
      <c r="B42" s="11" t="n">
        <f aca="false">'UK Construction'!E42-'UK Construction'!F42</f>
        <v>1.64720186701301</v>
      </c>
      <c r="C42" s="11" t="n">
        <f aca="false">'UK Construction'!J42</f>
        <v>5.92379184592349</v>
      </c>
      <c r="D42" s="11" t="n">
        <f aca="false">C42*100/F42</f>
        <v>12.6566208827844</v>
      </c>
      <c r="E42" s="11" t="n">
        <f aca="false">100*('UK Construction'!D42/'UK Construction'!D41-1)</f>
        <v>-0.620452785109638</v>
      </c>
      <c r="F42" s="11" t="n">
        <f aca="false">'UK Construction'!H41</f>
        <v>46.8038973497348</v>
      </c>
      <c r="G42" s="11" t="n">
        <f aca="false">((1+D42/400)/(1+E42/100)-1)*F42</f>
        <v>1.78240301527732</v>
      </c>
      <c r="H42" s="11" t="n">
        <f aca="false">4*(L42-F42-G42+B42/4)</f>
        <v>5.05666103112777</v>
      </c>
      <c r="I42" s="11" t="n">
        <f aca="false">F42*(1+D42/400)/(1+E42/100)-B42/4+H42/4</f>
        <v>49.4386651560408</v>
      </c>
      <c r="J42" s="10" t="n">
        <f aca="false">(1+D42/400)*(F42/100*'UK Construction'!D41)-B42/100*'UK Construction'!D42/4+H42/100*'UK Construction'!D42/4</f>
        <v>787200</v>
      </c>
      <c r="K42" s="11" t="n">
        <f aca="false">J42/'UK Construction'!D42*100</f>
        <v>49.4386651560408</v>
      </c>
      <c r="L42" s="11" t="n">
        <f aca="false">'UK Construction'!H42</f>
        <v>49.4386651560408</v>
      </c>
      <c r="M42" s="11" t="n">
        <f aca="false">I42-L42</f>
        <v>0</v>
      </c>
    </row>
    <row r="43" customFormat="false" ht="15" hidden="false" customHeight="false" outlineLevel="0" collapsed="false">
      <c r="A43" s="0" t="str">
        <f aca="false">'UK Construction'!A43</f>
        <v>2009-Q2</v>
      </c>
      <c r="B43" s="11" t="n">
        <f aca="false">'UK Construction'!E43-'UK Construction'!F43</f>
        <v>1.45793480877155</v>
      </c>
      <c r="C43" s="11" t="n">
        <f aca="false">'UK Construction'!J43</f>
        <v>6.36924754251147</v>
      </c>
      <c r="D43" s="11" t="n">
        <f aca="false">C43*100/F43</f>
        <v>12.8831300813008</v>
      </c>
      <c r="E43" s="11" t="n">
        <f aca="false">100*('UK Construction'!D43/'UK Construction'!D42-1)</f>
        <v>-0.850103876463626</v>
      </c>
      <c r="F43" s="11" t="n">
        <f aca="false">'UK Construction'!H42</f>
        <v>49.4386651560408</v>
      </c>
      <c r="G43" s="11" t="n">
        <f aca="false">((1+D43/400)/(1+E43/100)-1)*F43</f>
        <v>2.02984770864877</v>
      </c>
      <c r="H43" s="11" t="n">
        <f aca="false">4*(L43-F43-G43+B43/4)</f>
        <v>10.8694908597996</v>
      </c>
      <c r="I43" s="11" t="n">
        <f aca="false">F43*(1+D43/400)/(1+E43/100)-B43/4+H43/4</f>
        <v>53.8214018774466</v>
      </c>
      <c r="J43" s="10" t="n">
        <f aca="false">(1+D43/400)*(F43/100*'UK Construction'!D42)-B43/100*'UK Construction'!D43/4+H43/100*'UK Construction'!D43/4</f>
        <v>849700</v>
      </c>
      <c r="K43" s="11" t="n">
        <f aca="false">J43/'UK Construction'!D43*100</f>
        <v>53.8214018774466</v>
      </c>
      <c r="L43" s="11" t="n">
        <f aca="false">'UK Construction'!H43</f>
        <v>53.8214018774466</v>
      </c>
      <c r="M43" s="11" t="n">
        <f aca="false">I43-L43</f>
        <v>0</v>
      </c>
    </row>
    <row r="44" customFormat="false" ht="15" hidden="false" customHeight="false" outlineLevel="0" collapsed="false">
      <c r="A44" s="0" t="str">
        <f aca="false">'UK Construction'!A44</f>
        <v>2009-Q3</v>
      </c>
      <c r="B44" s="11" t="n">
        <f aca="false">'UK Construction'!E44-'UK Construction'!F44</f>
        <v>1.29252663954554</v>
      </c>
      <c r="C44" s="11" t="n">
        <f aca="false">'UK Construction'!J44</f>
        <v>4.40275156137173</v>
      </c>
      <c r="D44" s="11" t="n">
        <f aca="false">C44*100/F44</f>
        <v>8.18029892903378</v>
      </c>
      <c r="E44" s="11" t="n">
        <f aca="false">100*('UK Construction'!D44/'UK Construction'!D43-1)</f>
        <v>-0.694097824847662</v>
      </c>
      <c r="F44" s="11" t="n">
        <f aca="false">'UK Construction'!H43</f>
        <v>53.8214018774466</v>
      </c>
      <c r="G44" s="11" t="n">
        <f aca="false">((1+D44/400)/(1+E44/100)-1)*F44</f>
        <v>1.48456540627016</v>
      </c>
      <c r="H44" s="11" t="n">
        <f aca="false">4*(L44-F44-G44+B44/4)</f>
        <v>3.95182493484432</v>
      </c>
      <c r="I44" s="11" t="n">
        <f aca="false">F44*(1+D44/400)/(1+E44/100)-B44/4+H44/4</f>
        <v>55.9707918575414</v>
      </c>
      <c r="J44" s="10" t="n">
        <f aca="false">(1+D44/400)*(F44/100*'UK Construction'!D43)-B44/100*'UK Construction'!D44/4+H44/100*'UK Construction'!D44/4</f>
        <v>877500</v>
      </c>
      <c r="K44" s="11" t="n">
        <f aca="false">J44/'UK Construction'!D44*100</f>
        <v>55.9707918575414</v>
      </c>
      <c r="L44" s="11" t="n">
        <f aca="false">'UK Construction'!H44</f>
        <v>55.9707918575414</v>
      </c>
      <c r="M44" s="11" t="n">
        <f aca="false">I44-L44</f>
        <v>0</v>
      </c>
    </row>
    <row r="45" customFormat="false" ht="15" hidden="false" customHeight="false" outlineLevel="0" collapsed="false">
      <c r="A45" s="0" t="str">
        <f aca="false">'UK Construction'!A45</f>
        <v>2009-Q4</v>
      </c>
      <c r="B45" s="11" t="n">
        <f aca="false">'UK Construction'!E45-'UK Construction'!F45</f>
        <v>-0.763560460560278</v>
      </c>
      <c r="C45" s="11" t="n">
        <f aca="false">'UK Construction'!J45</f>
        <v>5.64976508213514</v>
      </c>
      <c r="D45" s="11" t="n">
        <f aca="false">C45*100/F45</f>
        <v>10.0941310541311</v>
      </c>
      <c r="E45" s="11" t="n">
        <f aca="false">100*('UK Construction'!D45/'UK Construction'!D44-1)</f>
        <v>-0.534321736057697</v>
      </c>
      <c r="F45" s="11" t="n">
        <f aca="false">'UK Construction'!H44</f>
        <v>55.9707918575414</v>
      </c>
      <c r="G45" s="11" t="n">
        <f aca="false">((1+D45/400)/(1+E45/100)-1)*F45</f>
        <v>1.72069944843747</v>
      </c>
      <c r="H45" s="11" t="n">
        <f aca="false">4*(L45-F45-G45+B45/4)</f>
        <v>14.3591305658247</v>
      </c>
      <c r="I45" s="11" t="n">
        <f aca="false">F45*(1+D45/400)/(1+E45/100)-B45/4+H45/4</f>
        <v>61.4721640625752</v>
      </c>
      <c r="J45" s="10" t="n">
        <f aca="false">(1+D45/400)*(F45/100*'UK Construction'!D44)-B45/100*'UK Construction'!D45/4+H45/100*'UK Construction'!D45/4</f>
        <v>958600</v>
      </c>
      <c r="K45" s="11" t="n">
        <f aca="false">J45/'UK Construction'!D45*100</f>
        <v>61.4721640625752</v>
      </c>
      <c r="L45" s="11" t="n">
        <f aca="false">'UK Construction'!H45</f>
        <v>61.4721640625751</v>
      </c>
      <c r="M45" s="11" t="n">
        <f aca="false">I45-L45</f>
        <v>0</v>
      </c>
    </row>
    <row r="46" customFormat="false" ht="15" hidden="false" customHeight="false" outlineLevel="0" collapsed="false">
      <c r="A46" s="0" t="str">
        <f aca="false">'UK Construction'!A46</f>
        <v>2010-Q1</v>
      </c>
      <c r="B46" s="11" t="n">
        <f aca="false">'UK Construction'!E46-'UK Construction'!F46</f>
        <v>-0.888850050645637</v>
      </c>
      <c r="C46" s="11" t="n">
        <f aca="false">'UK Construction'!J46</f>
        <v>5.56853415244917</v>
      </c>
      <c r="D46" s="11" t="n">
        <f aca="false">C46*100/F46</f>
        <v>9.05862716461506</v>
      </c>
      <c r="E46" s="11" t="n">
        <f aca="false">100*('UK Construction'!D46/'UK Construction'!D45-1)</f>
        <v>0.535524767459394</v>
      </c>
      <c r="F46" s="11" t="n">
        <f aca="false">'UK Construction'!H45</f>
        <v>61.4721640625751</v>
      </c>
      <c r="G46" s="11" t="n">
        <f aca="false">((1+D46/400)/(1+E46/100)-1)*F46</f>
        <v>1.05727291613837</v>
      </c>
      <c r="H46" s="11" t="n">
        <f aca="false">4*(L46-F46-G46+B46/4)</f>
        <v>11.2536006878622</v>
      </c>
      <c r="I46" s="11" t="n">
        <f aca="false">F46*(1+D46/400)/(1+E46/100)-B46/4+H46/4</f>
        <v>65.5650496633405</v>
      </c>
      <c r="J46" s="10" t="n">
        <f aca="false">(1+D46/400)*(F46/100*'UK Construction'!D45)-B46/100*'UK Construction'!D46/4+H46/100*'UK Construction'!D46/4</f>
        <v>1027900</v>
      </c>
      <c r="K46" s="11" t="n">
        <f aca="false">J46/'UK Construction'!D46*100</f>
        <v>65.5650496633405</v>
      </c>
      <c r="L46" s="11" t="n">
        <f aca="false">'UK Construction'!H46</f>
        <v>65.5650496633405</v>
      </c>
      <c r="M46" s="11" t="n">
        <f aca="false">I46-L46</f>
        <v>0</v>
      </c>
    </row>
    <row r="47" customFormat="false" ht="15" hidden="false" customHeight="false" outlineLevel="0" collapsed="false">
      <c r="A47" s="0" t="str">
        <f aca="false">'UK Construction'!A47</f>
        <v>2010-Q2</v>
      </c>
      <c r="B47" s="11" t="n">
        <f aca="false">'UK Construction'!E47-'UK Construction'!F47</f>
        <v>-0.608393580442382</v>
      </c>
      <c r="C47" s="11" t="n">
        <f aca="false">'UK Construction'!J47</f>
        <v>6.16014226703645</v>
      </c>
      <c r="D47" s="11" t="n">
        <f aca="false">C47*100/F47</f>
        <v>9.39546648506664</v>
      </c>
      <c r="E47" s="11" t="n">
        <f aca="false">100*('UK Construction'!D47/'UK Construction'!D46-1)</f>
        <v>0.879346020681782</v>
      </c>
      <c r="F47" s="11" t="n">
        <f aca="false">'UK Construction'!H46</f>
        <v>65.5650496633405</v>
      </c>
      <c r="G47" s="11" t="n">
        <f aca="false">((1+D47/400)/(1+E47/100)-1)*F47</f>
        <v>0.955093336339593</v>
      </c>
      <c r="H47" s="11" t="n">
        <f aca="false">4*(L47-F47-G47+B47/4)</f>
        <v>3.45245336513351</v>
      </c>
      <c r="I47" s="11" t="n">
        <f aca="false">F47*(1+D47/400)/(1+E47/100)-B47/4+H47/4</f>
        <v>67.5353547360741</v>
      </c>
      <c r="J47" s="10" t="n">
        <f aca="false">(1+D47/400)*(F47/100*'UK Construction'!D46)-B47/100*'UK Construction'!D47/4+H47/100*'UK Construction'!D47/4</f>
        <v>1068100</v>
      </c>
      <c r="K47" s="11" t="n">
        <f aca="false">J47/'UK Construction'!D47*100</f>
        <v>67.535354736074</v>
      </c>
      <c r="L47" s="11" t="n">
        <f aca="false">'UK Construction'!H47</f>
        <v>67.535354736074</v>
      </c>
      <c r="M47" s="11" t="n">
        <f aca="false">I47-L47</f>
        <v>0</v>
      </c>
    </row>
    <row r="48" customFormat="false" ht="15" hidden="false" customHeight="false" outlineLevel="0" collapsed="false">
      <c r="A48" s="0" t="str">
        <f aca="false">'UK Construction'!A48</f>
        <v>2010-Q3</v>
      </c>
      <c r="B48" s="11" t="n">
        <f aca="false">'UK Construction'!E48-'UK Construction'!F48</f>
        <v>-0.347564107382219</v>
      </c>
      <c r="C48" s="11" t="n">
        <f aca="false">'UK Construction'!J48</f>
        <v>5.38992957506029</v>
      </c>
      <c r="D48" s="11" t="n">
        <f aca="false">C48*100/F48</f>
        <v>7.98090066473177</v>
      </c>
      <c r="E48" s="11" t="n">
        <f aca="false">100*('UK Construction'!D48/'UK Construction'!D47-1)</f>
        <v>0.94831499890613</v>
      </c>
      <c r="F48" s="11" t="n">
        <f aca="false">'UK Construction'!H47</f>
        <v>67.535354736074</v>
      </c>
      <c r="G48" s="11" t="n">
        <f aca="false">((1+D48/400)/(1+E48/100)-1)*F48</f>
        <v>0.700392567469881</v>
      </c>
      <c r="H48" s="11" t="n">
        <f aca="false">4*(L48-F48-G48+B48/4)</f>
        <v>4.03416137397121</v>
      </c>
      <c r="I48" s="11" t="n">
        <f aca="false">F48*(1+D48/400)/(1+E48/100)-B48/4+H48/4</f>
        <v>69.3311786738823</v>
      </c>
      <c r="J48" s="10" t="n">
        <f aca="false">(1+D48/400)*(F48/100*'UK Construction'!D47)-B48/100*'UK Construction'!D48/4+H48/100*'UK Construction'!D48/4</f>
        <v>1106900</v>
      </c>
      <c r="K48" s="11" t="n">
        <f aca="false">J48/'UK Construction'!D48*100</f>
        <v>69.3311786738823</v>
      </c>
      <c r="L48" s="11" t="n">
        <f aca="false">'UK Construction'!H48</f>
        <v>69.3311786738823</v>
      </c>
      <c r="M48" s="11" t="n">
        <f aca="false">I48-L48</f>
        <v>0</v>
      </c>
    </row>
    <row r="49" customFormat="false" ht="15" hidden="false" customHeight="false" outlineLevel="0" collapsed="false">
      <c r="A49" s="0" t="str">
        <f aca="false">'UK Construction'!A49</f>
        <v>2010-Q4</v>
      </c>
      <c r="B49" s="11" t="n">
        <f aca="false">'UK Construction'!E49-'UK Construction'!F49</f>
        <v>-0.0162144867155689</v>
      </c>
      <c r="C49" s="11" t="n">
        <f aca="false">'UK Construction'!J49</f>
        <v>6.02928833602666</v>
      </c>
      <c r="D49" s="11" t="n">
        <f aca="false">C49*100/F49</f>
        <v>8.6963592013732</v>
      </c>
      <c r="E49" s="11" t="n">
        <f aca="false">100*('UK Construction'!D49/'UK Construction'!D48-1)</f>
        <v>1.2088015333158</v>
      </c>
      <c r="F49" s="11" t="n">
        <f aca="false">'UK Construction'!H48</f>
        <v>69.3311786738823</v>
      </c>
      <c r="G49" s="11" t="n">
        <f aca="false">((1+D49/400)/(1+E49/100)-1)*F49</f>
        <v>0.661252502738666</v>
      </c>
      <c r="H49" s="11" t="n">
        <f aca="false">4*(L49-F49-G49+B49/4)</f>
        <v>5.31476217618216</v>
      </c>
      <c r="I49" s="11" t="n">
        <f aca="false">F49*(1+D49/400)/(1+E49/100)-B49/4+H49/4</f>
        <v>71.3251753423454</v>
      </c>
      <c r="J49" s="10" t="n">
        <f aca="false">(1+D49/400)*(F49/100*'UK Construction'!D48)-B49/100*'UK Construction'!D49/4+H49/100*'UK Construction'!D49/4</f>
        <v>1152500</v>
      </c>
      <c r="K49" s="11" t="n">
        <f aca="false">J49/'UK Construction'!D49*100</f>
        <v>71.3251753423454</v>
      </c>
      <c r="L49" s="11" t="n">
        <f aca="false">'UK Construction'!H49</f>
        <v>71.3251753423454</v>
      </c>
      <c r="M49" s="11" t="n">
        <f aca="false">I49-L49</f>
        <v>0</v>
      </c>
    </row>
    <row r="50" customFormat="false" ht="15" hidden="false" customHeight="false" outlineLevel="0" collapsed="false">
      <c r="A50" s="0" t="str">
        <f aca="false">'UK Construction'!A50</f>
        <v>2011-Q1</v>
      </c>
      <c r="B50" s="11" t="n">
        <f aca="false">'UK Construction'!E50-'UK Construction'!F50</f>
        <v>0.723091062846571</v>
      </c>
      <c r="C50" s="11" t="n">
        <f aca="false">'UK Construction'!J50</f>
        <v>5.71170766394424</v>
      </c>
      <c r="D50" s="11" t="n">
        <f aca="false">C50*100/F50</f>
        <v>8.00798264642083</v>
      </c>
      <c r="E50" s="11" t="n">
        <f aca="false">100*('UK Construction'!D50/'UK Construction'!D49-1)</f>
        <v>1.13841787455309</v>
      </c>
      <c r="F50" s="11" t="n">
        <f aca="false">'UK Construction'!H49</f>
        <v>71.3251753423454</v>
      </c>
      <c r="G50" s="11" t="n">
        <f aca="false">((1+D50/400)/(1+E50/100)-1)*F50</f>
        <v>0.609015232566189</v>
      </c>
      <c r="H50" s="11" t="n">
        <f aca="false">4*(L50-F50-G50+B50/4)</f>
        <v>-0.959164966583804</v>
      </c>
      <c r="I50" s="11" t="n">
        <f aca="false">F50*(1+D50/400)/(1+E50/100)-B50/4+H50/4</f>
        <v>71.513626567554</v>
      </c>
      <c r="J50" s="10" t="n">
        <f aca="false">(1+D50/400)*(F50/100*'UK Construction'!D49)-B50/100*'UK Construction'!D50/4+H50/100*'UK Construction'!D50/4</f>
        <v>1168700</v>
      </c>
      <c r="K50" s="11" t="n">
        <f aca="false">J50/'UK Construction'!D50*100</f>
        <v>71.513626567554</v>
      </c>
      <c r="L50" s="11" t="n">
        <f aca="false">'UK Construction'!H50</f>
        <v>71.513626567554</v>
      </c>
      <c r="M50" s="11" t="n">
        <f aca="false">I50-L50</f>
        <v>0</v>
      </c>
    </row>
    <row r="51" customFormat="false" ht="15" hidden="false" customHeight="false" outlineLevel="0" collapsed="false">
      <c r="A51" s="0" t="str">
        <f aca="false">'UK Construction'!A51</f>
        <v>2011-Q2</v>
      </c>
      <c r="B51" s="11" t="n">
        <f aca="false">'UK Construction'!E51-'UK Construction'!F51</f>
        <v>1.21446244751075</v>
      </c>
      <c r="C51" s="11" t="n">
        <f aca="false">'UK Construction'!J51</f>
        <v>6.31635371678719</v>
      </c>
      <c r="D51" s="11" t="n">
        <f aca="false">C51*100/F51</f>
        <v>8.83237785573714</v>
      </c>
      <c r="E51" s="11" t="n">
        <f aca="false">100*('UK Construction'!D51/'UK Construction'!D50-1)</f>
        <v>0.679400869153368</v>
      </c>
      <c r="F51" s="11" t="n">
        <f aca="false">'UK Construction'!H50</f>
        <v>71.513626567554</v>
      </c>
      <c r="G51" s="11" t="n">
        <f aca="false">((1+D51/400)/(1+E51/100)-1)*F51</f>
        <v>1.08584697494826</v>
      </c>
      <c r="H51" s="11" t="n">
        <f aca="false">4*(L51-F51-G51+B51/4)</f>
        <v>3.25513861294072</v>
      </c>
      <c r="I51" s="11" t="n">
        <f aca="false">F51*(1+D51/400)/(1+E51/100)-B51/4+H51/4</f>
        <v>73.1096425838597</v>
      </c>
      <c r="J51" s="10" t="n">
        <f aca="false">(1+D51/400)*(F51/100*'UK Construction'!D50)-B51/100*'UK Construction'!D51/4+H51/100*'UK Construction'!D51/4</f>
        <v>1202900</v>
      </c>
      <c r="K51" s="11" t="n">
        <f aca="false">J51/'UK Construction'!D51*100</f>
        <v>73.1096425838597</v>
      </c>
      <c r="L51" s="11" t="n">
        <f aca="false">'UK Construction'!H51</f>
        <v>73.1096425838597</v>
      </c>
      <c r="M51" s="11" t="n">
        <f aca="false">I51-L51</f>
        <v>0</v>
      </c>
    </row>
    <row r="52" customFormat="false" ht="15" hidden="false" customHeight="false" outlineLevel="0" collapsed="false">
      <c r="A52" s="0" t="str">
        <f aca="false">'UK Construction'!A52</f>
        <v>2011-Q3</v>
      </c>
      <c r="B52" s="11" t="n">
        <f aca="false">'UK Construction'!E52-'UK Construction'!F52</f>
        <v>1.85309775843416</v>
      </c>
      <c r="C52" s="11" t="n">
        <f aca="false">'UK Construction'!J52</f>
        <v>5.52786450435382</v>
      </c>
      <c r="D52" s="11" t="n">
        <f aca="false">C52*100/F52</f>
        <v>7.5610607698063</v>
      </c>
      <c r="E52" s="11" t="n">
        <f aca="false">100*('UK Construction'!D52/'UK Construction'!D51-1)</f>
        <v>0.725808755288426</v>
      </c>
      <c r="F52" s="11" t="n">
        <f aca="false">'UK Construction'!H51</f>
        <v>73.1096425838597</v>
      </c>
      <c r="G52" s="11" t="n">
        <f aca="false">((1+D52/400)/(1+E52/100)-1)*F52</f>
        <v>0.845195436775313</v>
      </c>
      <c r="H52" s="11" t="n">
        <f aca="false">4*(L52-F52-G52+B52/4)</f>
        <v>0.275089468942725</v>
      </c>
      <c r="I52" s="11" t="n">
        <f aca="false">F52*(1+D52/400)/(1+E52/100)-B52/4+H52/4</f>
        <v>73.5603359482622</v>
      </c>
      <c r="J52" s="10" t="n">
        <f aca="false">(1+D52/400)*(F52/100*'UK Construction'!D51)-B52/100*'UK Construction'!D52/4+H52/100*'UK Construction'!D52/4</f>
        <v>1219100</v>
      </c>
      <c r="K52" s="11" t="n">
        <f aca="false">J52/'UK Construction'!D52*100</f>
        <v>73.5603359482622</v>
      </c>
      <c r="L52" s="11" t="n">
        <f aca="false">'UK Construction'!H52</f>
        <v>73.5603359482622</v>
      </c>
      <c r="M52" s="11" t="n">
        <f aca="false">I52-L52</f>
        <v>0</v>
      </c>
    </row>
    <row r="53" customFormat="false" ht="15" hidden="false" customHeight="false" outlineLevel="0" collapsed="false">
      <c r="A53" s="0" t="str">
        <f aca="false">'UK Construction'!A53</f>
        <v>2011-Q4</v>
      </c>
      <c r="B53" s="11" t="n">
        <f aca="false">'UK Construction'!E53-'UK Construction'!F53</f>
        <v>2.48301590770954</v>
      </c>
      <c r="C53" s="11" t="n">
        <f aca="false">'UK Construction'!J53</f>
        <v>6.22635054206323</v>
      </c>
      <c r="D53" s="11" t="n">
        <f aca="false">C53*100/F53</f>
        <v>8.46427692560085</v>
      </c>
      <c r="E53" s="11" t="n">
        <f aca="false">100*('UK Construction'!D53/'UK Construction'!D52-1)</f>
        <v>0.76426479790066</v>
      </c>
      <c r="F53" s="11" t="n">
        <f aca="false">'UK Construction'!H52</f>
        <v>73.5603359482622</v>
      </c>
      <c r="G53" s="11" t="n">
        <f aca="false">((1+D53/400)/(1+E53/100)-1)*F53</f>
        <v>0.986849737493944</v>
      </c>
      <c r="H53" s="11" t="n">
        <f aca="false">4*(L53-F53-G53+B53/4)</f>
        <v>3.84904892077284</v>
      </c>
      <c r="I53" s="11" t="n">
        <f aca="false">F53*(1+D53/400)/(1+E53/100)-B53/4+H53/4</f>
        <v>74.8886939390219</v>
      </c>
      <c r="J53" s="10" t="n">
        <f aca="false">(1+D53/400)*(F53/100*'UK Construction'!D52)-B53/100*'UK Construction'!D53/4+H53/100*'UK Construction'!D53/4</f>
        <v>1250600</v>
      </c>
      <c r="K53" s="11" t="n">
        <f aca="false">J53/'UK Construction'!D53*100</f>
        <v>74.888693939022</v>
      </c>
      <c r="L53" s="11" t="n">
        <f aca="false">'UK Construction'!H53</f>
        <v>74.888693939022</v>
      </c>
      <c r="M53" s="11" t="n">
        <f aca="false">I53-L53</f>
        <v>0</v>
      </c>
    </row>
    <row r="54" customFormat="false" ht="15" hidden="false" customHeight="false" outlineLevel="0" collapsed="false">
      <c r="A54" s="0" t="str">
        <f aca="false">'UK Construction'!A54</f>
        <v>2012-Q1</v>
      </c>
      <c r="B54" s="11" t="n">
        <f aca="false">'UK Construction'!E54-'UK Construction'!F54</f>
        <v>2.24144488615701</v>
      </c>
      <c r="C54" s="11" t="n">
        <f aca="false">'UK Construction'!J54</f>
        <v>5.2049618400606</v>
      </c>
      <c r="D54" s="11" t="n">
        <f aca="false">C54*100/F54</f>
        <v>6.9502638733408</v>
      </c>
      <c r="E54" s="11" t="n">
        <f aca="false">100*('UK Construction'!D54/'UK Construction'!D53-1)</f>
        <v>0.606726568839089</v>
      </c>
      <c r="F54" s="11" t="n">
        <f aca="false">'UK Construction'!H53</f>
        <v>74.888693939022</v>
      </c>
      <c r="G54" s="11" t="n">
        <f aca="false">((1+D54/400)/(1+E54/100)-1)*F54</f>
        <v>0.841763653100328</v>
      </c>
      <c r="H54" s="11" t="n">
        <f aca="false">4*(L54-F54-G54+B54/4)</f>
        <v>-0.432242093665991</v>
      </c>
      <c r="I54" s="11" t="n">
        <f aca="false">F54*(1+D54/400)/(1+E54/100)-B54/4+H54/4</f>
        <v>75.0620358471665</v>
      </c>
      <c r="J54" s="10" t="n">
        <f aca="false">(1+D54/400)*(F54/100*'UK Construction'!D53)-B54/100*'UK Construction'!D54/4+H54/100*'UK Construction'!D54/4</f>
        <v>1261100</v>
      </c>
      <c r="K54" s="11" t="n">
        <f aca="false">J54/'UK Construction'!D54*100</f>
        <v>75.0620358471665</v>
      </c>
      <c r="L54" s="11" t="n">
        <f aca="false">'UK Construction'!H54</f>
        <v>75.0620358471665</v>
      </c>
      <c r="M54" s="11" t="n">
        <f aca="false">I54-L54</f>
        <v>0</v>
      </c>
    </row>
    <row r="55" customFormat="false" ht="15" hidden="false" customHeight="false" outlineLevel="0" collapsed="false">
      <c r="A55" s="0" t="str">
        <f aca="false">'UK Construction'!A55</f>
        <v>2012-Q2</v>
      </c>
      <c r="B55" s="11" t="n">
        <f aca="false">'UK Construction'!E55-'UK Construction'!F55</f>
        <v>1.37351682336574</v>
      </c>
      <c r="C55" s="11" t="n">
        <f aca="false">'UK Construction'!J55</f>
        <v>6.11710058527079</v>
      </c>
      <c r="D55" s="11" t="n">
        <f aca="false">C55*100/F55</f>
        <v>8.14939338672587</v>
      </c>
      <c r="E55" s="11" t="n">
        <f aca="false">100*('UK Construction'!D55/'UK Construction'!D54-1)</f>
        <v>0.753417849300964</v>
      </c>
      <c r="F55" s="11" t="n">
        <f aca="false">'UK Construction'!H54</f>
        <v>75.0620358471665</v>
      </c>
      <c r="G55" s="11" t="n">
        <f aca="false">((1+D55/400)/(1+E55/100)-1)*F55</f>
        <v>0.956537644844918</v>
      </c>
      <c r="H55" s="11" t="n">
        <f aca="false">4*(L55-F55-G55+B55/4)</f>
        <v>2.15497405087036</v>
      </c>
      <c r="I55" s="11" t="n">
        <f aca="false">F55*(1+D55/400)/(1+E55/100)-B55/4+H55/4</f>
        <v>76.2139377988876</v>
      </c>
      <c r="J55" s="10" t="n">
        <f aca="false">(1+D55/400)*(F55/100*'UK Construction'!D54)-B55/100*'UK Construction'!D55/4+H55/100*'UK Construction'!D55/4</f>
        <v>1290100</v>
      </c>
      <c r="K55" s="11" t="n">
        <f aca="false">J55/'UK Construction'!D55*100</f>
        <v>76.2139377988876</v>
      </c>
      <c r="L55" s="11" t="n">
        <f aca="false">'UK Construction'!H55</f>
        <v>76.2139377988876</v>
      </c>
      <c r="M55" s="11" t="n">
        <f aca="false">I55-L55</f>
        <v>0</v>
      </c>
    </row>
    <row r="56" customFormat="false" ht="15" hidden="false" customHeight="false" outlineLevel="0" collapsed="false">
      <c r="A56" s="0" t="str">
        <f aca="false">'UK Construction'!A56</f>
        <v>2012-Q3</v>
      </c>
      <c r="B56" s="11" t="n">
        <f aca="false">'UK Construction'!E56-'UK Construction'!F56</f>
        <v>1.35464367707066</v>
      </c>
      <c r="C56" s="11" t="n">
        <f aca="false">'UK Construction'!J56</f>
        <v>4.81847424434421</v>
      </c>
      <c r="D56" s="11" t="n">
        <f aca="false">C56*100/F56</f>
        <v>6.32230059685296</v>
      </c>
      <c r="E56" s="11" t="n">
        <f aca="false">100*('UK Construction'!D56/'UK Construction'!D55-1)</f>
        <v>0.896064652766082</v>
      </c>
      <c r="F56" s="11" t="n">
        <f aca="false">'UK Construction'!H55</f>
        <v>76.2139377988876</v>
      </c>
      <c r="G56" s="11" t="n">
        <f aca="false">((1+D56/400)/(1+E56/100)-1)*F56</f>
        <v>0.517059219092935</v>
      </c>
      <c r="H56" s="11" t="n">
        <f aca="false">4*(L56-F56-G56+B56/4)</f>
        <v>0.982022983740834</v>
      </c>
      <c r="I56" s="11" t="n">
        <f aca="false">F56*(1+D56/400)/(1+E56/100)-B56/4+H56/4</f>
        <v>76.6378418446481</v>
      </c>
      <c r="J56" s="10" t="n">
        <f aca="false">(1+D56/400)*(F56/100*'UK Construction'!D55)-B56/100*'UK Construction'!D56/4+H56/100*'UK Construction'!D56/4</f>
        <v>1308900</v>
      </c>
      <c r="K56" s="11" t="n">
        <f aca="false">J56/'UK Construction'!D56*100</f>
        <v>76.6378418446481</v>
      </c>
      <c r="L56" s="11" t="n">
        <f aca="false">'UK Construction'!H56</f>
        <v>76.6378418446481</v>
      </c>
      <c r="M56" s="11" t="n">
        <f aca="false">I56-L56</f>
        <v>0</v>
      </c>
    </row>
    <row r="57" customFormat="false" ht="15" hidden="false" customHeight="false" outlineLevel="0" collapsed="false">
      <c r="A57" s="0" t="str">
        <f aca="false">'UK Construction'!A57</f>
        <v>2012-Q4</v>
      </c>
      <c r="B57" s="11" t="n">
        <f aca="false">'UK Construction'!E57-'UK Construction'!F57</f>
        <v>1.23842138155831</v>
      </c>
      <c r="C57" s="11" t="n">
        <f aca="false">'UK Construction'!J57</f>
        <v>5.74201228055692</v>
      </c>
      <c r="D57" s="11" t="n">
        <f aca="false">C57*100/F57</f>
        <v>7.49239819695928</v>
      </c>
      <c r="E57" s="11" t="n">
        <f aca="false">100*('UK Construction'!D57/'UK Construction'!D56-1)</f>
        <v>0.808301174012804</v>
      </c>
      <c r="F57" s="11" t="n">
        <f aca="false">'UK Construction'!H56</f>
        <v>76.6378418446481</v>
      </c>
      <c r="G57" s="11" t="n">
        <f aca="false">((1+D57/400)/(1+E57/100)-1)*F57</f>
        <v>0.809495334478698</v>
      </c>
      <c r="H57" s="11" t="n">
        <f aca="false">4*(L57-F57-G57+B57/4)</f>
        <v>6.09011516470852</v>
      </c>
      <c r="I57" s="11" t="n">
        <f aca="false">F57*(1+D57/400)/(1+E57/100)-B57/4+H57/4</f>
        <v>78.6602606249143</v>
      </c>
      <c r="J57" s="10" t="n">
        <f aca="false">(1+D57/400)*(F57/100*'UK Construction'!D56)-B57/100*'UK Construction'!D57/4+H57/100*'UK Construction'!D57/4</f>
        <v>1354300</v>
      </c>
      <c r="K57" s="11" t="n">
        <f aca="false">J57/'UK Construction'!D57*100</f>
        <v>78.6602606249143</v>
      </c>
      <c r="L57" s="11" t="n">
        <f aca="false">'UK Construction'!H57</f>
        <v>78.6602606249143</v>
      </c>
      <c r="M57" s="11" t="n">
        <f aca="false">I57-L57</f>
        <v>0</v>
      </c>
    </row>
    <row r="58" customFormat="false" ht="15" hidden="false" customHeight="false" outlineLevel="0" collapsed="false">
      <c r="A58" s="0" t="str">
        <f aca="false">'UK Construction'!A58</f>
        <v>2013-Q1</v>
      </c>
      <c r="B58" s="11" t="n">
        <f aca="false">'UK Construction'!E58-'UK Construction'!F58</f>
        <v>1.49744134752431</v>
      </c>
      <c r="C58" s="11" t="n">
        <f aca="false">'UK Construction'!J58</f>
        <v>4.8600575707379</v>
      </c>
      <c r="D58" s="11" t="n">
        <f aca="false">C58*100/F58</f>
        <v>6.1785424204386</v>
      </c>
      <c r="E58" s="11" t="n">
        <f aca="false">100*('UK Construction'!D58/'UK Construction'!D57-1)</f>
        <v>0.777425672646004</v>
      </c>
      <c r="F58" s="11" t="n">
        <f aca="false">'UK Construction'!H57</f>
        <v>78.6602606249143</v>
      </c>
      <c r="G58" s="11" t="n">
        <f aca="false">((1+D58/400)/(1+E58/100)-1)*F58</f>
        <v>0.598833844373484</v>
      </c>
      <c r="H58" s="11" t="n">
        <f aca="false">4*(L58-F58-G58+B58/4)</f>
        <v>-0.581755560076609</v>
      </c>
      <c r="I58" s="11" t="n">
        <f aca="false">F58*(1+D58/400)/(1+E58/100)-B58/4+H58/4</f>
        <v>78.7392952423876</v>
      </c>
      <c r="J58" s="10" t="n">
        <f aca="false">(1+D58/400)*(F58/100*'UK Construction'!D57)-B58/100*'UK Construction'!D58/4+H58/100*'UK Construction'!D58/4</f>
        <v>1366200</v>
      </c>
      <c r="K58" s="11" t="n">
        <f aca="false">J58/'UK Construction'!D58*100</f>
        <v>78.7392952423876</v>
      </c>
      <c r="L58" s="11" t="n">
        <f aca="false">'UK Construction'!H58</f>
        <v>78.7392952423876</v>
      </c>
      <c r="M58" s="11" t="n">
        <f aca="false">I58-L58</f>
        <v>0</v>
      </c>
    </row>
    <row r="59" customFormat="false" ht="15" hidden="false" customHeight="false" outlineLevel="0" collapsed="false">
      <c r="A59" s="0" t="str">
        <f aca="false">'UK Construction'!A59</f>
        <v>2013-Q2</v>
      </c>
      <c r="B59" s="11" t="n">
        <f aca="false">'UK Construction'!E59-'UK Construction'!F59</f>
        <v>2.17035069785123</v>
      </c>
      <c r="C59" s="11" t="n">
        <f aca="false">'UK Construction'!J59</f>
        <v>5.64211831872989</v>
      </c>
      <c r="D59" s="11" t="n">
        <f aca="false">C59*100/F59</f>
        <v>7.16556873078612</v>
      </c>
      <c r="E59" s="11" t="n">
        <f aca="false">100*('UK Construction'!D59/'UK Construction'!D58-1)</f>
        <v>0.975624937683461</v>
      </c>
      <c r="F59" s="11" t="n">
        <f aca="false">'UK Construction'!H58</f>
        <v>78.7392952423876</v>
      </c>
      <c r="G59" s="11" t="n">
        <f aca="false">((1+D59/400)/(1+E59/100)-1)*F59</f>
        <v>0.63612320293927</v>
      </c>
      <c r="H59" s="11" t="n">
        <f aca="false">4*(L59-F59-G59+B59/4)</f>
        <v>3.7744410597818</v>
      </c>
      <c r="I59" s="11" t="n">
        <f aca="false">F59*(1+D59/400)/(1+E59/100)-B59/4+H59/4</f>
        <v>79.7764410358095</v>
      </c>
      <c r="J59" s="10" t="n">
        <f aca="false">(1+D59/400)*(F59/100*'UK Construction'!D58)-B59/100*'UK Construction'!D59/4+H59/100*'UK Construction'!D59/4</f>
        <v>1397700</v>
      </c>
      <c r="K59" s="11" t="n">
        <f aca="false">J59/'UK Construction'!D59*100</f>
        <v>79.7764410358095</v>
      </c>
      <c r="L59" s="11" t="n">
        <f aca="false">'UK Construction'!H59</f>
        <v>79.7764410358095</v>
      </c>
      <c r="M59" s="11" t="n">
        <f aca="false">I59-L59</f>
        <v>0</v>
      </c>
    </row>
    <row r="60" customFormat="false" ht="15" hidden="false" customHeight="false" outlineLevel="0" collapsed="false">
      <c r="A60" s="0" t="str">
        <f aca="false">'UK Construction'!A60</f>
        <v>2013-Q3</v>
      </c>
      <c r="B60" s="11" t="n">
        <f aca="false">'UK Construction'!E60-'UK Construction'!F60</f>
        <v>2.13924142915999</v>
      </c>
      <c r="C60" s="11" t="n">
        <f aca="false">'UK Construction'!J60</f>
        <v>4.44012942767239</v>
      </c>
      <c r="D60" s="11" t="n">
        <f aca="false">C60*100/F60</f>
        <v>5.56571510338413</v>
      </c>
      <c r="E60" s="11" t="n">
        <f aca="false">100*('UK Construction'!D60/'UK Construction'!D59-1)</f>
        <v>0.995307704645088</v>
      </c>
      <c r="F60" s="11" t="n">
        <f aca="false">'UK Construction'!H59</f>
        <v>79.7764410358095</v>
      </c>
      <c r="G60" s="11" t="n">
        <f aca="false">((1+D60/400)/(1+E60/100)-1)*F60</f>
        <v>0.312897004800661</v>
      </c>
      <c r="H60" s="11" t="n">
        <f aca="false">4*(L60-F60-G60+B60/4)</f>
        <v>1.74409240338428</v>
      </c>
      <c r="I60" s="11" t="n">
        <f aca="false">F60*(1+D60/400)/(1+E60/100)-B60/4+H60/4</f>
        <v>79.9905507841662</v>
      </c>
      <c r="J60" s="10" t="n">
        <f aca="false">(1+D60/400)*(F60/100*'UK Construction'!D59)-B60/100*'UK Construction'!D60/4+H60/100*'UK Construction'!D60/4</f>
        <v>1415400</v>
      </c>
      <c r="K60" s="11" t="n">
        <f aca="false">J60/'UK Construction'!D60*100</f>
        <v>79.9905507841662</v>
      </c>
      <c r="L60" s="11" t="n">
        <f aca="false">'UK Construction'!H60</f>
        <v>79.9905507841662</v>
      </c>
      <c r="M60" s="11" t="n">
        <f aca="false">I60-L60</f>
        <v>0</v>
      </c>
    </row>
    <row r="61" customFormat="false" ht="15" hidden="false" customHeight="false" outlineLevel="0" collapsed="false">
      <c r="A61" s="0" t="str">
        <f aca="false">'UK Construction'!A61</f>
        <v>2013-Q4</v>
      </c>
      <c r="B61" s="11" t="n">
        <f aca="false">'UK Construction'!E61-'UK Construction'!F61</f>
        <v>2.2286973358255</v>
      </c>
      <c r="C61" s="11" t="n">
        <f aca="false">'UK Construction'!J61</f>
        <v>5.13173800579725</v>
      </c>
      <c r="D61" s="11" t="n">
        <f aca="false">C61*100/F61</f>
        <v>6.41543026706231</v>
      </c>
      <c r="E61" s="11" t="n">
        <f aca="false">100*('UK Construction'!D61/'UK Construction'!D60-1)</f>
        <v>1.10841788365823</v>
      </c>
      <c r="F61" s="11" t="n">
        <f aca="false">'UK Construction'!H60</f>
        <v>79.9905507841662</v>
      </c>
      <c r="G61" s="11" t="n">
        <f aca="false">((1+D61/400)/(1+E61/100)-1)*F61</f>
        <v>0.391960372455748</v>
      </c>
      <c r="H61" s="11" t="n">
        <f aca="false">4*(L61-F61-G61+B61/4)</f>
        <v>5.47037793895385</v>
      </c>
      <c r="I61" s="11" t="n">
        <f aca="false">F61*(1+D61/400)/(1+E61/100)-B61/4+H61/4</f>
        <v>81.192931307404</v>
      </c>
      <c r="J61" s="10" t="n">
        <f aca="false">(1+D61/400)*(F61/100*'UK Construction'!D60)-B61/100*'UK Construction'!D61/4+H61/100*'UK Construction'!D61/4</f>
        <v>1452600</v>
      </c>
      <c r="K61" s="11" t="n">
        <f aca="false">J61/'UK Construction'!D61*100</f>
        <v>81.1929313074041</v>
      </c>
      <c r="L61" s="11" t="n">
        <f aca="false">'UK Construction'!H61</f>
        <v>81.1929313074041</v>
      </c>
      <c r="M61" s="11" t="n">
        <f aca="false">I61-L61</f>
        <v>0</v>
      </c>
    </row>
    <row r="62" customFormat="false" ht="15" hidden="false" customHeight="false" outlineLevel="0" collapsed="false">
      <c r="A62" s="0" t="str">
        <f aca="false">'UK Construction'!A62</f>
        <v>2014-Q1</v>
      </c>
      <c r="B62" s="11" t="n">
        <f aca="false">'UK Construction'!E62-'UK Construction'!F62</f>
        <v>2.09557742761848</v>
      </c>
      <c r="C62" s="11" t="n">
        <f aca="false">'UK Construction'!J62</f>
        <v>3.93701315542359</v>
      </c>
      <c r="D62" s="11" t="n">
        <f aca="false">C62*100/F62</f>
        <v>4.84896048464822</v>
      </c>
      <c r="E62" s="11" t="n">
        <f aca="false">100*('UK Construction'!D62/'UK Construction'!D61-1)</f>
        <v>1.15389430945205</v>
      </c>
      <c r="F62" s="11" t="n">
        <f aca="false">'UK Construction'!H61</f>
        <v>81.1929313074041</v>
      </c>
      <c r="G62" s="11" t="n">
        <f aca="false">((1+D62/400)/(1+E62/100)-1)*F62</f>
        <v>0.0468322798107365</v>
      </c>
      <c r="H62" s="11" t="n">
        <f aca="false">4*(L62-F62-G62+B62/4)</f>
        <v>0.0822228460155832</v>
      </c>
      <c r="I62" s="11" t="n">
        <f aca="false">F62*(1+D62/400)/(1+E62/100)-B62/4+H62/4</f>
        <v>80.7364249418141</v>
      </c>
      <c r="J62" s="10" t="n">
        <f aca="false">(1+D62/400)*(F62/100*'UK Construction'!D61)-B62/100*'UK Construction'!D62/4+H62/100*'UK Construction'!D62/4</f>
        <v>1461100</v>
      </c>
      <c r="K62" s="11" t="n">
        <f aca="false">J62/'UK Construction'!D62*100</f>
        <v>80.7364249418141</v>
      </c>
      <c r="L62" s="11" t="n">
        <f aca="false">'UK Construction'!H62</f>
        <v>80.7364249418141</v>
      </c>
      <c r="M62" s="11" t="n">
        <f aca="false">I62-L62</f>
        <v>0</v>
      </c>
    </row>
    <row r="63" customFormat="false" ht="15" hidden="false" customHeight="false" outlineLevel="0" collapsed="false">
      <c r="A63" s="0" t="str">
        <f aca="false">'UK Construction'!A63</f>
        <v>2014-Q2</v>
      </c>
      <c r="B63" s="11" t="n">
        <f aca="false">'UK Construction'!E63-'UK Construction'!F63</f>
        <v>1.7937934963515</v>
      </c>
      <c r="C63" s="11" t="n">
        <f aca="false">'UK Construction'!J63</f>
        <v>4.67388253184478</v>
      </c>
      <c r="D63" s="11" t="n">
        <f aca="false">C63*100/F63</f>
        <v>5.78906303469988</v>
      </c>
      <c r="E63" s="11" t="n">
        <f aca="false">100*('UK Construction'!D63/'UK Construction'!D62-1)</f>
        <v>1.16266861761736</v>
      </c>
      <c r="F63" s="11" t="n">
        <f aca="false">'UK Construction'!H62</f>
        <v>80.7364249418141</v>
      </c>
      <c r="G63" s="11" t="n">
        <f aca="false">((1+D63/400)/(1+E63/100)-1)*F63</f>
        <v>0.227132755903307</v>
      </c>
      <c r="H63" s="11" t="n">
        <f aca="false">4*(L63-F63-G63+B63/4)</f>
        <v>5.21401802642296</v>
      </c>
      <c r="I63" s="11" t="n">
        <f aca="false">F63*(1+D63/400)/(1+E63/100)-B63/4+H63/4</f>
        <v>81.8186138302353</v>
      </c>
      <c r="J63" s="10" t="n">
        <f aca="false">(1+D63/400)*(F63/100*'UK Construction'!D62)-B63/100*'UK Construction'!D63/4+H63/100*'UK Construction'!D63/4</f>
        <v>1497900</v>
      </c>
      <c r="K63" s="11" t="n">
        <f aca="false">J63/'UK Construction'!D63*100</f>
        <v>81.8186138302353</v>
      </c>
      <c r="L63" s="11" t="n">
        <f aca="false">'UK Construction'!H63</f>
        <v>81.8186138302353</v>
      </c>
      <c r="M63" s="11" t="n">
        <f aca="false">I63-L63</f>
        <v>0</v>
      </c>
    </row>
    <row r="64" customFormat="false" ht="15" hidden="false" customHeight="false" outlineLevel="0" collapsed="false">
      <c r="A64" s="0" t="str">
        <f aca="false">'UK Construction'!A64</f>
        <v>2014-Q3</v>
      </c>
      <c r="B64" s="11" t="n">
        <f aca="false">'UK Construction'!E64-'UK Construction'!F64</f>
        <v>1.52479819561232</v>
      </c>
      <c r="C64" s="11" t="n">
        <f aca="false">'UK Construction'!J64</f>
        <v>3.47113243319567</v>
      </c>
      <c r="D64" s="11" t="n">
        <f aca="false">C64*100/F64</f>
        <v>4.24247279524668</v>
      </c>
      <c r="E64" s="11" t="n">
        <f aca="false">100*('UK Construction'!D64/'UK Construction'!D63-1)</f>
        <v>1.2776135773344</v>
      </c>
      <c r="F64" s="11" t="n">
        <f aca="false">'UK Construction'!H63</f>
        <v>81.8186138302353</v>
      </c>
      <c r="G64" s="11" t="n">
        <f aca="false">((1+D64/400)/(1+E64/100)-1)*F64</f>
        <v>-0.175302916915003</v>
      </c>
      <c r="H64" s="11" t="n">
        <f aca="false">4*(L64-F64-G64+B64/4)</f>
        <v>1.54917598227109</v>
      </c>
      <c r="I64" s="11" t="n">
        <f aca="false">F64*(1+D64/400)/(1+E64/100)-B64/4+H64/4</f>
        <v>81.6494053599849</v>
      </c>
      <c r="J64" s="10" t="n">
        <f aca="false">(1+D64/400)*(F64/100*'UK Construction'!D63)-B64/100*'UK Construction'!D64/4+H64/100*'UK Construction'!D64/4</f>
        <v>1513900</v>
      </c>
      <c r="K64" s="11" t="n">
        <f aca="false">J64/'UK Construction'!D64*100</f>
        <v>81.6494053599849</v>
      </c>
      <c r="L64" s="11" t="n">
        <f aca="false">'UK Construction'!H64</f>
        <v>81.6494053599849</v>
      </c>
      <c r="M64" s="11" t="n">
        <f aca="false">I64-L64</f>
        <v>0</v>
      </c>
    </row>
    <row r="65" customFormat="false" ht="15" hidden="false" customHeight="false" outlineLevel="0" collapsed="false">
      <c r="A65" s="0" t="str">
        <f aca="false">'UK Construction'!A65</f>
        <v>2014-Q4</v>
      </c>
      <c r="B65" s="11" t="n">
        <f aca="false">'UK Construction'!E65-'UK Construction'!F65</f>
        <v>1.30539405012944</v>
      </c>
      <c r="C65" s="11" t="n">
        <f aca="false">'UK Construction'!J65</f>
        <v>3.84759137220512</v>
      </c>
      <c r="D65" s="11" t="n">
        <f aca="false">C65*100/F65</f>
        <v>4.71233238655129</v>
      </c>
      <c r="E65" s="11" t="n">
        <f aca="false">100*('UK Construction'!D65/'UK Construction'!D64-1)</f>
        <v>1.1282276971567</v>
      </c>
      <c r="F65" s="11" t="n">
        <f aca="false">'UK Construction'!H64</f>
        <v>81.6494053599849</v>
      </c>
      <c r="G65" s="11" t="n">
        <f aca="false">((1+D65/400)/(1+E65/100)-1)*F65</f>
        <v>0.0402524973918173</v>
      </c>
      <c r="H65" s="11" t="n">
        <f aca="false">4*(L65-F65-G65+B65/4)</f>
        <v>5.37245088972866</v>
      </c>
      <c r="I65" s="11" t="n">
        <f aca="false">F65*(1+D65/400)/(1+E65/100)-B65/4+H65/4</f>
        <v>82.7064220672766</v>
      </c>
      <c r="J65" s="10" t="n">
        <f aca="false">(1+D65/400)*(F65/100*'UK Construction'!D64)-B65/100*'UK Construction'!D65/4+H65/100*'UK Construction'!D65/4</f>
        <v>1550800</v>
      </c>
      <c r="K65" s="11" t="n">
        <f aca="false">J65/'UK Construction'!D65*100</f>
        <v>82.7064220672766</v>
      </c>
      <c r="L65" s="11" t="n">
        <f aca="false">'UK Construction'!H65</f>
        <v>82.7064220672766</v>
      </c>
      <c r="M65" s="11" t="n">
        <f aca="false">I65-L65</f>
        <v>0</v>
      </c>
    </row>
    <row r="66" customFormat="false" ht="15" hidden="false" customHeight="false" outlineLevel="0" collapsed="false">
      <c r="A66" s="0" t="str">
        <f aca="false">'UK Construction'!A66</f>
        <v>2015-Q1</v>
      </c>
      <c r="B66" s="11" t="n">
        <f aca="false">'UK Construction'!E66-'UK Construction'!F66</f>
        <v>1.38025787359966</v>
      </c>
      <c r="C66" s="11" t="n">
        <f aca="false">'UK Construction'!J66</f>
        <v>2.71115790057523</v>
      </c>
      <c r="D66" s="11" t="n">
        <f aca="false">C66*100/F66</f>
        <v>3.27805003868971</v>
      </c>
      <c r="E66" s="11" t="n">
        <f aca="false">100*('UK Construction'!D66/'UK Construction'!D65-1)</f>
        <v>0.924447459449418</v>
      </c>
      <c r="F66" s="11" t="n">
        <f aca="false">'UK Construction'!H65</f>
        <v>82.7064220672766</v>
      </c>
      <c r="G66" s="11" t="n">
        <f aca="false">((1+D66/400)/(1+E66/100)-1)*F66</f>
        <v>-0.0859929825164632</v>
      </c>
      <c r="H66" s="11" t="n">
        <f aca="false">4*(L66-F66-G66+B66/4)</f>
        <v>-1.07355738744453</v>
      </c>
      <c r="I66" s="11" t="n">
        <f aca="false">F66*(1+D66/400)/(1+E66/100)-B66/4+H66/4</f>
        <v>82.0069752694991</v>
      </c>
      <c r="J66" s="10" t="n">
        <f aca="false">(1+D66/400)*(F66/100*'UK Construction'!D65)-B66/100*'UK Construction'!D66/4+H66/100*'UK Construction'!D66/4</f>
        <v>1551900</v>
      </c>
      <c r="K66" s="11" t="n">
        <f aca="false">J66/'UK Construction'!D66*100</f>
        <v>82.0069752694991</v>
      </c>
      <c r="L66" s="11" t="n">
        <f aca="false">'UK Construction'!H66</f>
        <v>82.0069752694991</v>
      </c>
      <c r="M66" s="11" t="n">
        <f aca="false">I66-L66</f>
        <v>0</v>
      </c>
    </row>
    <row r="67" customFormat="false" ht="15" hidden="false" customHeight="false" outlineLevel="0" collapsed="false">
      <c r="A67" s="0" t="str">
        <f aca="false">'UK Construction'!A67</f>
        <v>2015-Q2</v>
      </c>
      <c r="B67" s="11" t="n">
        <f aca="false">'UK Construction'!E67-'UK Construction'!F67</f>
        <v>1.425661273704</v>
      </c>
      <c r="C67" s="11" t="n">
        <f aca="false">'UK Construction'!J67</f>
        <v>3.95793701120271</v>
      </c>
      <c r="D67" s="11" t="n">
        <f aca="false">C67*100/F67</f>
        <v>4.82634190347316</v>
      </c>
      <c r="E67" s="11" t="n">
        <f aca="false">100*('UK Construction'!D67/'UK Construction'!D66-1)</f>
        <v>0.777584020291688</v>
      </c>
      <c r="F67" s="11" t="n">
        <f aca="false">'UK Construction'!H66</f>
        <v>82.0069752694991</v>
      </c>
      <c r="G67" s="11" t="n">
        <f aca="false">((1+D67/400)/(1+E67/100)-1)*F67</f>
        <v>0.349096598217374</v>
      </c>
      <c r="H67" s="11" t="n">
        <f aca="false">4*(L67-F67-G67+B67/4)</f>
        <v>2.95152625824868</v>
      </c>
      <c r="I67" s="11" t="n">
        <f aca="false">F67*(1+D67/400)/(1+E67/100)-B67/4+H67/4</f>
        <v>82.7375381138526</v>
      </c>
      <c r="J67" s="10" t="n">
        <f aca="false">(1+D67/400)*(F67/100*'UK Construction'!D66)-B67/100*'UK Construction'!D67/4+H67/100*'UK Construction'!D67/4</f>
        <v>1577900</v>
      </c>
      <c r="K67" s="11" t="n">
        <f aca="false">J67/'UK Construction'!D67*100</f>
        <v>82.7375381138526</v>
      </c>
      <c r="L67" s="11" t="n">
        <f aca="false">'UK Construction'!H67</f>
        <v>82.7375381138526</v>
      </c>
      <c r="M67" s="11" t="n">
        <f aca="false">I67-L67</f>
        <v>0</v>
      </c>
    </row>
    <row r="68" customFormat="false" ht="15" hidden="false" customHeight="false" outlineLevel="0" collapsed="false">
      <c r="A68" s="0" t="str">
        <f aca="false">'UK Construction'!A68</f>
        <v>2015-Q3</v>
      </c>
      <c r="B68" s="11" t="n">
        <f aca="false">'UK Construction'!E68-'UK Construction'!F68</f>
        <v>1.56199593880012</v>
      </c>
      <c r="C68" s="11" t="n">
        <f aca="false">'UK Construction'!J68</f>
        <v>3.36571208343493</v>
      </c>
      <c r="D68" s="11" t="n">
        <f aca="false">C68*100/F68</f>
        <v>4.0679383991381</v>
      </c>
      <c r="E68" s="11" t="n">
        <f aca="false">100*('UK Construction'!D68/'UK Construction'!D67-1)</f>
        <v>0.449632035823755</v>
      </c>
      <c r="F68" s="11" t="n">
        <f aca="false">'UK Construction'!H67</f>
        <v>82.7375381138526</v>
      </c>
      <c r="G68" s="11" t="n">
        <f aca="false">((1+D68/400)/(1+E68/100)-1)*F68</f>
        <v>0.467312357779025</v>
      </c>
      <c r="H68" s="11" t="n">
        <f aca="false">4*(L68-F68-G68+B68/4)</f>
        <v>-0.619359082106164</v>
      </c>
      <c r="I68" s="11" t="n">
        <f aca="false">F68*(1+D68/400)/(1+E68/100)-B68/4+H68/4</f>
        <v>82.6595117164051</v>
      </c>
      <c r="J68" s="10" t="n">
        <f aca="false">(1+D68/400)*(F68/100*'UK Construction'!D67)-B68/100*'UK Construction'!D68/4+H68/100*'UK Construction'!D68/4</f>
        <v>1583500</v>
      </c>
      <c r="K68" s="11" t="n">
        <f aca="false">J68/'UK Construction'!D68*100</f>
        <v>82.6595117164051</v>
      </c>
      <c r="L68" s="11" t="n">
        <f aca="false">'UK Construction'!H68</f>
        <v>82.6595117164051</v>
      </c>
      <c r="M68" s="11" t="n">
        <f aca="false">I68-L68</f>
        <v>0</v>
      </c>
    </row>
    <row r="69" customFormat="false" ht="15" hidden="false" customHeight="false" outlineLevel="0" collapsed="false">
      <c r="A69" s="0" t="str">
        <f aca="false">'UK Construction'!A69</f>
        <v>2015-Q4</v>
      </c>
      <c r="B69" s="11" t="n">
        <f aca="false">'UK Construction'!E69-'UK Construction'!F69</f>
        <v>1.77643753993743</v>
      </c>
      <c r="C69" s="11" t="n">
        <f aca="false">'UK Construction'!J69</f>
        <v>3.58387839368583</v>
      </c>
      <c r="D69" s="11" t="n">
        <f aca="false">C69*100/F69</f>
        <v>4.3357120303126</v>
      </c>
      <c r="E69" s="11" t="n">
        <f aca="false">100*('UK Construction'!D69/'UK Construction'!D68-1)</f>
        <v>0.643423518418951</v>
      </c>
      <c r="F69" s="11" t="n">
        <f aca="false">'UK Construction'!H68</f>
        <v>82.6595117164051</v>
      </c>
      <c r="G69" s="11" t="n">
        <f aca="false">((1+D69/400)/(1+E69/100)-1)*F69</f>
        <v>0.361791011373132</v>
      </c>
      <c r="H69" s="11" t="n">
        <f aca="false">4*(L69-F69-G69+B69/4)</f>
        <v>2.24033410511121</v>
      </c>
      <c r="I69" s="11" t="n">
        <f aca="false">F69*(1+D69/400)/(1+E69/100)-B69/4+H69/4</f>
        <v>83.1372768690716</v>
      </c>
      <c r="J69" s="10" t="n">
        <f aca="false">(1+D69/400)*(F69/100*'UK Construction'!D68)-B69/100*'UK Construction'!D69/4+H69/100*'UK Construction'!D69/4</f>
        <v>1602900</v>
      </c>
      <c r="K69" s="11" t="n">
        <f aca="false">J69/'UK Construction'!D69*100</f>
        <v>83.1372768690716</v>
      </c>
      <c r="L69" s="11" t="n">
        <f aca="false">'UK Construction'!H69</f>
        <v>83.1372768690716</v>
      </c>
      <c r="M69" s="11" t="n">
        <f aca="false">I69-L69</f>
        <v>0</v>
      </c>
    </row>
    <row r="70" customFormat="false" ht="15" hidden="false" customHeight="false" outlineLevel="0" collapsed="false">
      <c r="A70" s="0" t="str">
        <f aca="false">'UK Construction'!A70</f>
        <v>2016-Q1</v>
      </c>
      <c r="B70" s="11" t="n">
        <f aca="false">'UK Construction'!E70-'UK Construction'!F70</f>
        <v>2.16498751186527</v>
      </c>
      <c r="C70" s="11" t="n">
        <f aca="false">'UK Construction'!J70</f>
        <v>3.11366710649704</v>
      </c>
      <c r="D70" s="11" t="n">
        <f aca="false">C70*100/F70</f>
        <v>3.74521180360596</v>
      </c>
      <c r="E70" s="11" t="n">
        <f aca="false">100*('UK Construction'!D70/'UK Construction'!D69-1)</f>
        <v>0.758707396619118</v>
      </c>
      <c r="F70" s="11" t="n">
        <f aca="false">'UK Construction'!H69</f>
        <v>83.1372768690716</v>
      </c>
      <c r="G70" s="11" t="n">
        <f aca="false">((1+D70/400)/(1+E70/100)-1)*F70</f>
        <v>0.146536325728877</v>
      </c>
      <c r="H70" s="11" t="n">
        <f aca="false">4*(L70-F70-G70+B70/4)</f>
        <v>-2.55188289774151</v>
      </c>
      <c r="I70" s="11" t="n">
        <f aca="false">F70*(1+D70/400)/(1+E70/100)-B70/4+H70/4</f>
        <v>82.1045955923988</v>
      </c>
      <c r="J70" s="10" t="n">
        <f aca="false">(1+D70/400)*(F70/100*'UK Construction'!D69)-B70/100*'UK Construction'!D70/4+H70/100*'UK Construction'!D70/4</f>
        <v>1595000</v>
      </c>
      <c r="K70" s="11" t="n">
        <f aca="false">J70/'UK Construction'!D70*100</f>
        <v>82.1045955923988</v>
      </c>
      <c r="L70" s="11" t="n">
        <f aca="false">'UK Construction'!H70</f>
        <v>82.1045955923988</v>
      </c>
      <c r="M70" s="11" t="n">
        <f aca="false">I70-L70</f>
        <v>0</v>
      </c>
    </row>
    <row r="71" customFormat="false" ht="15" hidden="false" customHeight="false" outlineLevel="0" collapsed="false">
      <c r="A71" s="0" t="str">
        <f aca="false">'UK Construction'!A71</f>
        <v>2016-Q2</v>
      </c>
      <c r="B71" s="11" t="n">
        <f aca="false">'UK Construction'!E71-'UK Construction'!F71</f>
        <v>2.33263174648194</v>
      </c>
      <c r="C71" s="11" t="n">
        <f aca="false">'UK Construction'!J71</f>
        <v>3.88995616283786</v>
      </c>
      <c r="D71" s="11" t="n">
        <f aca="false">C71*100/F71</f>
        <v>4.73780564263323</v>
      </c>
      <c r="E71" s="11" t="n">
        <f aca="false">100*('UK Construction'!D71/'UK Construction'!D70-1)</f>
        <v>0.909790985893455</v>
      </c>
      <c r="F71" s="11" t="n">
        <f aca="false">'UK Construction'!H70</f>
        <v>82.1045955923988</v>
      </c>
      <c r="G71" s="11" t="n">
        <f aca="false">((1+D71/400)/(1+E71/100)-1)*F71</f>
        <v>0.223475669508687</v>
      </c>
      <c r="H71" s="11" t="n">
        <f aca="false">4*(L71-F71-G71+B71/4)</f>
        <v>3.57896014830251</v>
      </c>
      <c r="I71" s="11" t="n">
        <f aca="false">F71*(1+D71/400)/(1+E71/100)-B71/4+H71/4</f>
        <v>82.6396533623626</v>
      </c>
      <c r="J71" s="10" t="n">
        <f aca="false">(1+D71/400)*(F71/100*'UK Construction'!D70)-B71/100*'UK Construction'!D71/4+H71/100*'UK Construction'!D71/4</f>
        <v>1620000</v>
      </c>
      <c r="K71" s="11" t="n">
        <f aca="false">J71/'UK Construction'!D71*100</f>
        <v>82.6396533623627</v>
      </c>
      <c r="L71" s="11" t="n">
        <f aca="false">'UK Construction'!H71</f>
        <v>82.6396533623626</v>
      </c>
      <c r="M71" s="11" t="n">
        <f aca="false">I71-L71</f>
        <v>0</v>
      </c>
    </row>
    <row r="72" customFormat="false" ht="15" hidden="false" customHeight="false" outlineLevel="0" collapsed="false">
      <c r="A72" s="0" t="str">
        <f aca="false">'UK Construction'!A72</f>
        <v>2016-Q3</v>
      </c>
      <c r="B72" s="11" t="n">
        <f aca="false">'UK Construction'!E72-'UK Construction'!F72</f>
        <v>2.56493311557361</v>
      </c>
      <c r="C72" s="11" t="n">
        <f aca="false">'UK Construction'!J72</f>
        <v>3.54779173583062</v>
      </c>
      <c r="D72" s="11" t="n">
        <f aca="false">C72*100/F72</f>
        <v>4.29308641975309</v>
      </c>
      <c r="E72" s="11" t="n">
        <f aca="false">100*('UK Construction'!D72/'UK Construction'!D71-1)</f>
        <v>1.10609605176304</v>
      </c>
      <c r="F72" s="11" t="n">
        <f aca="false">'UK Construction'!H71</f>
        <v>82.6396533623626</v>
      </c>
      <c r="G72" s="11" t="n">
        <f aca="false">((1+D72/400)/(1+E72/100)-1)*F72</f>
        <v>-0.0268292517794567</v>
      </c>
      <c r="H72" s="11" t="n">
        <f aca="false">4*(L72-F72-G72+B72/4)</f>
        <v>0.811755392656279</v>
      </c>
      <c r="I72" s="11" t="n">
        <f aca="false">F72*(1+D72/400)/(1+E72/100)-B72/4+H72/4</f>
        <v>82.1745296798539</v>
      </c>
      <c r="J72" s="10" t="n">
        <f aca="false">(1+D72/400)*(F72/100*'UK Construction'!D71)-B72/100*'UK Construction'!D72/4+H72/100*'UK Construction'!D72/4</f>
        <v>1628700</v>
      </c>
      <c r="K72" s="11" t="n">
        <f aca="false">J72/'UK Construction'!D72*100</f>
        <v>82.1745296798539</v>
      </c>
      <c r="L72" s="11" t="n">
        <f aca="false">'UK Construction'!H72</f>
        <v>82.1745296798539</v>
      </c>
      <c r="M72" s="11" t="n">
        <f aca="false">I72-L72</f>
        <v>0</v>
      </c>
    </row>
    <row r="73" customFormat="false" ht="15" hidden="false" customHeight="false" outlineLevel="0" collapsed="false">
      <c r="A73" s="0" t="str">
        <f aca="false">'UK Construction'!A73</f>
        <v>2016-Q4</v>
      </c>
      <c r="B73" s="11" t="n">
        <f aca="false">'UK Construction'!E73-'UK Construction'!F73</f>
        <v>2.90688887170752</v>
      </c>
      <c r="C73" s="11" t="n">
        <f aca="false">'UK Construction'!J73</f>
        <v>3.4563050170005</v>
      </c>
      <c r="D73" s="11" t="n">
        <f aca="false">C73*100/F73</f>
        <v>4.20605390802481</v>
      </c>
      <c r="E73" s="11" t="n">
        <f aca="false">100*('UK Construction'!D73/'UK Construction'!D72-1)</f>
        <v>1.14803171138662</v>
      </c>
      <c r="F73" s="11" t="n">
        <f aca="false">'UK Construction'!H72</f>
        <v>82.1745296798539</v>
      </c>
      <c r="G73" s="11" t="n">
        <f aca="false">((1+D73/400)/(1+E73/100)-1)*F73</f>
        <v>-0.0784131967923223</v>
      </c>
      <c r="H73" s="11" t="n">
        <f aca="false">4*(L73-F73-G73+B73/4)</f>
        <v>11.8404493317138</v>
      </c>
      <c r="I73" s="11" t="n">
        <f aca="false">F73*(1+D73/400)/(1+E73/100)-B73/4+H73/4</f>
        <v>84.3295065980631</v>
      </c>
      <c r="J73" s="10" t="n">
        <f aca="false">(1+D73/400)*(F73/100*'UK Construction'!D72)-B73/100*'UK Construction'!D73/4+H73/100*'UK Construction'!D73/4</f>
        <v>1690600</v>
      </c>
      <c r="K73" s="11" t="n">
        <f aca="false">J73/'UK Construction'!D73*100</f>
        <v>84.3295065980631</v>
      </c>
      <c r="L73" s="11" t="n">
        <f aca="false">'UK Construction'!H73</f>
        <v>84.3295065980631</v>
      </c>
      <c r="M73" s="11" t="n">
        <f aca="false">I73-L73</f>
        <v>0</v>
      </c>
    </row>
    <row r="74" customFormat="false" ht="15" hidden="false" customHeight="false" outlineLevel="0" collapsed="false">
      <c r="A74" s="0" t="str">
        <f aca="false">'UK Construction'!A74</f>
        <v>2017-Q1</v>
      </c>
      <c r="B74" s="11" t="n">
        <f aca="false">'UK Construction'!E74-'UK Construction'!F74</f>
        <v>3.5742777359212</v>
      </c>
      <c r="C74" s="11" t="n">
        <f aca="false">'UK Construction'!J74</f>
        <v>3.07927901414387</v>
      </c>
      <c r="D74" s="11" t="n">
        <f aca="false">C74*100/F74</f>
        <v>3.65148467999527</v>
      </c>
      <c r="E74" s="11" t="n">
        <f aca="false">100*('UK Construction'!D74/'UK Construction'!D73-1)</f>
        <v>1.23017525832334</v>
      </c>
      <c r="F74" s="11" t="n">
        <f aca="false">'UK Construction'!H73</f>
        <v>84.3295065980631</v>
      </c>
      <c r="G74" s="11" t="n">
        <f aca="false">((1+D74/400)/(1+E74/100)-1)*F74</f>
        <v>-0.264329258955385</v>
      </c>
      <c r="H74" s="11" t="n">
        <f aca="false">4*(L74-F74-G74+B74/4)</f>
        <v>5.243131401777</v>
      </c>
      <c r="I74" s="11" t="n">
        <f aca="false">F74*(1+D74/400)/(1+E74/100)-B74/4+H74/4</f>
        <v>84.4823907555717</v>
      </c>
      <c r="J74" s="10" t="n">
        <f aca="false">(1+D74/400)*(F74/100*'UK Construction'!D73)-B74/100*'UK Construction'!D74/4+H74/100*'UK Construction'!D74/4</f>
        <v>1714500</v>
      </c>
      <c r="K74" s="11" t="n">
        <f aca="false">J74/'UK Construction'!D74*100</f>
        <v>84.4823907555717</v>
      </c>
      <c r="L74" s="11" t="n">
        <f aca="false">'UK Construction'!H74</f>
        <v>84.4823907555717</v>
      </c>
      <c r="M74" s="11" t="n">
        <f aca="false">I74-L74</f>
        <v>0</v>
      </c>
    </row>
    <row r="75" customFormat="false" ht="15" hidden="false" customHeight="false" outlineLevel="0" collapsed="false">
      <c r="A75" s="0" t="str">
        <f aca="false">'UK Construction'!A75</f>
        <v>2017-Q2</v>
      </c>
      <c r="B75" s="11" t="n">
        <f aca="false">'UK Construction'!E75-'UK Construction'!F75</f>
        <v>3.70179412914555</v>
      </c>
      <c r="C75" s="11" t="n">
        <f aca="false">'UK Construction'!J75</f>
        <v>4.18386167061772</v>
      </c>
      <c r="D75" s="11" t="n">
        <f aca="false">C75*100/F75</f>
        <v>4.95234762321377</v>
      </c>
      <c r="E75" s="11" t="n">
        <f aca="false">100*('UK Construction'!D75/'UK Construction'!D74-1)</f>
        <v>1.21019977658607</v>
      </c>
      <c r="F75" s="11" t="n">
        <f aca="false">'UK Construction'!H74</f>
        <v>84.4823907555717</v>
      </c>
      <c r="G75" s="11" t="n">
        <f aca="false">((1+D75/400)/(1+E75/100)-1)*F75</f>
        <v>0.0232780031340059</v>
      </c>
      <c r="H75" s="11" t="n">
        <f aca="false">4*(L75-F75-G75+B75/4)</f>
        <v>6.50085176221545</v>
      </c>
      <c r="I75" s="11" t="n">
        <f aca="false">F75*(1+D75/400)/(1+E75/100)-B75/4+H75/4</f>
        <v>85.2054331669732</v>
      </c>
      <c r="J75" s="10" t="n">
        <f aca="false">(1+D75/400)*(F75/100*'UK Construction'!D74)-B75/100*'UK Construction'!D75/4+H75/100*'UK Construction'!D75/4</f>
        <v>1750100</v>
      </c>
      <c r="K75" s="11" t="n">
        <f aca="false">J75/'UK Construction'!D75*100</f>
        <v>85.2054331669731</v>
      </c>
      <c r="L75" s="11" t="n">
        <f aca="false">'UK Construction'!H75</f>
        <v>85.2054331669732</v>
      </c>
      <c r="M75" s="11" t="n">
        <f aca="false">I75-L75</f>
        <v>0</v>
      </c>
    </row>
    <row r="76" customFormat="false" ht="15" hidden="false" customHeight="false" outlineLevel="0" collapsed="false">
      <c r="A76" s="0" t="str">
        <f aca="false">'UK Construction'!A76</f>
        <v>2017-Q3</v>
      </c>
      <c r="B76" s="11" t="n">
        <f aca="false">'UK Construction'!E76-'UK Construction'!F76</f>
        <v>3.87986109270206</v>
      </c>
      <c r="C76" s="11" t="n">
        <f aca="false">'UK Construction'!J76</f>
        <v>3.42184941700905</v>
      </c>
      <c r="D76" s="11" t="n">
        <f aca="false">C76*100/F76</f>
        <v>4.01599908576653</v>
      </c>
      <c r="E76" s="11" t="n">
        <f aca="false">100*('UK Construction'!D76/'UK Construction'!D75-1)</f>
        <v>1.01208533493802</v>
      </c>
      <c r="F76" s="11" t="n">
        <f aca="false">'UK Construction'!H75</f>
        <v>85.2054331669732</v>
      </c>
      <c r="G76" s="11" t="n">
        <f aca="false">((1+D76/400)/(1+E76/100)-1)*F76</f>
        <v>-0.0068203120232972</v>
      </c>
      <c r="H76" s="11" t="n">
        <f aca="false">4*(L76-F76-G76+B76/4)</f>
        <v>5.00365101589814</v>
      </c>
      <c r="I76" s="11" t="n">
        <f aca="false">F76*(1+D76/400)/(1+E76/100)-B76/4+H76/4</f>
        <v>85.4795603357489</v>
      </c>
      <c r="J76" s="10" t="n">
        <f aca="false">(1+D76/400)*(F76/100*'UK Construction'!D75)-B76/100*'UK Construction'!D76/4+H76/100*'UK Construction'!D76/4</f>
        <v>1773500</v>
      </c>
      <c r="K76" s="11" t="n">
        <f aca="false">J76/'UK Construction'!D76*100</f>
        <v>85.4795603357489</v>
      </c>
      <c r="L76" s="11" t="n">
        <f aca="false">'UK Construction'!H76</f>
        <v>85.4795603357489</v>
      </c>
      <c r="M76" s="11" t="n">
        <f aca="false">I76-L76</f>
        <v>0</v>
      </c>
    </row>
    <row r="77" customFormat="false" ht="15" hidden="false" customHeight="false" outlineLevel="0" collapsed="false">
      <c r="A77" s="0" t="str">
        <f aca="false">'UK Construction'!A77</f>
        <v>2017-Q4</v>
      </c>
      <c r="B77" s="11" t="n">
        <f aca="false">'UK Construction'!E77-'UK Construction'!F77</f>
        <v>4.01969843917335</v>
      </c>
      <c r="C77" s="11" t="n">
        <f aca="false">'UK Construction'!J77</f>
        <v>3.63491768947327</v>
      </c>
      <c r="D77" s="11" t="n">
        <f aca="false">C77*100/F77</f>
        <v>4.2523822948971</v>
      </c>
      <c r="E77" s="11" t="n">
        <f aca="false">100*('UK Construction'!D77/'UK Construction'!D76-1)</f>
        <v>1.08238764390185</v>
      </c>
      <c r="F77" s="11" t="n">
        <f aca="false">'UK Construction'!H76</f>
        <v>85.4795603357489</v>
      </c>
      <c r="G77" s="11" t="n">
        <f aca="false">((1+D77/400)/(1+E77/100)-1)*F77</f>
        <v>-0.0163141939479499</v>
      </c>
      <c r="H77" s="11" t="n">
        <f aca="false">4*(L77-F77-G77+B77/4)</f>
        <v>-5.08835020803712</v>
      </c>
      <c r="I77" s="11" t="n">
        <f aca="false">F77*(1+D77/400)/(1+E77/100)-B77/4+H77/4</f>
        <v>83.1862339799983</v>
      </c>
      <c r="J77" s="10" t="n">
        <f aca="false">(1+D77/400)*(F77/100*'UK Construction'!D76)-B77/100*'UK Construction'!D77/4+H77/100*'UK Construction'!D77/4</f>
        <v>1744600</v>
      </c>
      <c r="K77" s="11" t="n">
        <f aca="false">J77/'UK Construction'!D77*100</f>
        <v>83.1862339799983</v>
      </c>
      <c r="L77" s="11" t="n">
        <f aca="false">'UK Construction'!H77</f>
        <v>83.1862339799983</v>
      </c>
      <c r="M77" s="11" t="n">
        <f aca="false">I77-L77</f>
        <v>0</v>
      </c>
    </row>
    <row r="78" customFormat="false" ht="15" hidden="false" customHeight="false" outlineLevel="0" collapsed="false">
      <c r="A78" s="0" t="str">
        <f aca="false">'UK Construction'!A78</f>
        <v>2018-Q1</v>
      </c>
      <c r="B78" s="11" t="n">
        <f aca="false">'UK Construction'!E78-'UK Construction'!F78</f>
        <v>3.63367042082115</v>
      </c>
      <c r="C78" s="11" t="n">
        <f aca="false">'UK Construction'!J78</f>
        <v>2.96907051327899</v>
      </c>
      <c r="D78" s="11" t="n">
        <f aca="false">C78*100/F78</f>
        <v>3.56918491344721</v>
      </c>
      <c r="E78" s="11" t="n">
        <f aca="false">100*('UK Construction'!D78/'UK Construction'!D77-1)</f>
        <v>0.851459692869905</v>
      </c>
      <c r="F78" s="11" t="n">
        <f aca="false">'UK Construction'!H77</f>
        <v>83.1862339799983</v>
      </c>
      <c r="G78" s="11" t="n">
        <f aca="false">((1+D78/400)/(1+E78/100)-1)*F78</f>
        <v>0.0336835739086616</v>
      </c>
      <c r="H78" s="11" t="n">
        <f aca="false">4*(L78-F78-G78+B78/4)</f>
        <v>3.18602756681901</v>
      </c>
      <c r="I78" s="11" t="n">
        <f aca="false">F78*(1+D78/400)/(1+E78/100)-B78/4+H78/4</f>
        <v>83.1080068404064</v>
      </c>
      <c r="J78" s="10" t="n">
        <f aca="false">(1+D78/400)*(F78/100*'UK Construction'!D77)-B78/100*'UK Construction'!D78/4+H78/100*'UK Construction'!D78/4</f>
        <v>1757800</v>
      </c>
      <c r="K78" s="11" t="n">
        <f aca="false">J78/'UK Construction'!D78*100</f>
        <v>83.1080068404064</v>
      </c>
      <c r="L78" s="11" t="n">
        <f aca="false">'UK Construction'!H78</f>
        <v>83.1080068404064</v>
      </c>
      <c r="M78" s="11" t="n">
        <f aca="false">I78-L78</f>
        <v>0</v>
      </c>
    </row>
    <row r="79" customFormat="false" ht="15" hidden="false" customHeight="false" outlineLevel="0" collapsed="false">
      <c r="A79" s="0" t="str">
        <f aca="false">'UK Construction'!A79</f>
        <v>2018-Q2</v>
      </c>
      <c r="B79" s="11" t="n">
        <f aca="false">'UK Construction'!E79-'UK Construction'!F79</f>
        <v>3.7321559267204</v>
      </c>
      <c r="C79" s="11" t="n">
        <f aca="false">'UK Construction'!J79</f>
        <v>3.67210870137711</v>
      </c>
      <c r="D79" s="11" t="n">
        <f aca="false">C79*100/F79</f>
        <v>4.41847764250768</v>
      </c>
      <c r="E79" s="11" t="n">
        <f aca="false">100*('UK Construction'!D79/'UK Construction'!D78-1)</f>
        <v>0.903181394170138</v>
      </c>
      <c r="F79" s="11" t="n">
        <f aca="false">'UK Construction'!H78</f>
        <v>83.1080068404064</v>
      </c>
      <c r="G79" s="11" t="n">
        <f aca="false">((1+D79/400)/(1+E79/100)-1)*F79</f>
        <v>0.165912628504848</v>
      </c>
      <c r="H79" s="11" t="n">
        <f aca="false">4*(L79-F79-G79+B79/4)</f>
        <v>4.23501838175001</v>
      </c>
      <c r="I79" s="11" t="n">
        <f aca="false">F79*(1+D79/400)/(1+E79/100)-B79/4+H79/4</f>
        <v>83.3996350826687</v>
      </c>
      <c r="J79" s="10" t="n">
        <f aca="false">(1+D79/400)*(F79/100*'UK Construction'!D78)-B79/100*'UK Construction'!D79/4+H79/100*'UK Construction'!D79/4</f>
        <v>1779900</v>
      </c>
      <c r="K79" s="11" t="n">
        <f aca="false">J79/'UK Construction'!D79*100</f>
        <v>83.3996350826687</v>
      </c>
      <c r="L79" s="11" t="n">
        <f aca="false">'UK Construction'!H79</f>
        <v>83.3996350826687</v>
      </c>
      <c r="M79" s="11" t="n">
        <f aca="false">I79-L79</f>
        <v>0</v>
      </c>
    </row>
    <row r="80" customFormat="false" ht="15" hidden="false" customHeight="false" outlineLevel="0" collapsed="false">
      <c r="A80" s="0" t="str">
        <f aca="false">'UK Construction'!A80</f>
        <v>2018-Q3</v>
      </c>
      <c r="B80" s="11" t="n">
        <f aca="false">'UK Construction'!E80-'UK Construction'!F80</f>
        <v>3.79476005033931</v>
      </c>
      <c r="C80" s="11" t="n">
        <f aca="false">'UK Construction'!J80</f>
        <v>3.2701990739309</v>
      </c>
      <c r="D80" s="11" t="n">
        <f aca="false">C80*100/F80</f>
        <v>3.92111916399798</v>
      </c>
      <c r="E80" s="11" t="n">
        <f aca="false">100*('UK Construction'!D80/'UK Construction'!D79-1)</f>
        <v>0.937080342726149</v>
      </c>
      <c r="F80" s="11" t="n">
        <f aca="false">'UK Construction'!H79</f>
        <v>83.3996350826687</v>
      </c>
      <c r="G80" s="11" t="n">
        <f aca="false">((1+D80/400)/(1+E80/100)-1)*F80</f>
        <v>0.0356937035382548</v>
      </c>
      <c r="H80" s="11" t="n">
        <f aca="false">4*(L80-F80-G80+B80/4)</f>
        <v>-0.224957884226126</v>
      </c>
      <c r="I80" s="11" t="n">
        <f aca="false">F80*(1+D80/400)/(1+E80/100)-B80/4+H80/4</f>
        <v>82.4303993025656</v>
      </c>
      <c r="J80" s="10" t="n">
        <f aca="false">(1+D80/400)*(F80/100*'UK Construction'!D79)-B80/100*'UK Construction'!D80/4+H80/100*'UK Construction'!D80/4</f>
        <v>1775700</v>
      </c>
      <c r="K80" s="11" t="n">
        <f aca="false">J80/'UK Construction'!D80*100</f>
        <v>82.4303993025656</v>
      </c>
      <c r="L80" s="11" t="n">
        <f aca="false">'UK Construction'!H80</f>
        <v>82.4303993025656</v>
      </c>
      <c r="M80" s="11" t="n">
        <f aca="false">I80-L80</f>
        <v>0</v>
      </c>
    </row>
    <row r="81" customFormat="false" ht="15" hidden="false" customHeight="false" outlineLevel="0" collapsed="false">
      <c r="A81" s="0" t="str">
        <f aca="false">'UK Construction'!A81</f>
        <v>2018-Q4</v>
      </c>
      <c r="B81" s="11" t="n">
        <f aca="false">'UK Construction'!E81-'UK Construction'!F81</f>
        <v>3.72253298206496</v>
      </c>
      <c r="C81" s="11" t="n">
        <f aca="false">'UK Construction'!J81</f>
        <v>3.58335720164647</v>
      </c>
      <c r="D81" s="11" t="n">
        <f aca="false">C81*100/F81</f>
        <v>4.34713070901616</v>
      </c>
      <c r="E81" s="11" t="n">
        <f aca="false">100*('UK Construction'!D81/'UK Construction'!D80-1)</f>
        <v>0.806710299645208</v>
      </c>
      <c r="F81" s="11" t="n">
        <f aca="false">'UK Construction'!H80</f>
        <v>82.4303993025656</v>
      </c>
      <c r="G81" s="11" t="n">
        <f aca="false">((1+D81/400)/(1+E81/100)-1)*F81</f>
        <v>0.229017273267727</v>
      </c>
      <c r="H81" s="11" t="n">
        <f aca="false">4*(L81-F81-G81+B81/4)</f>
        <v>4.38601944501623</v>
      </c>
      <c r="I81" s="11" t="n">
        <f aca="false">F81*(1+D81/400)/(1+E81/100)-B81/4+H81/4</f>
        <v>82.8252881915711</v>
      </c>
      <c r="J81" s="10" t="n">
        <f aca="false">(1+D81/400)*(F81/100*'UK Construction'!D80)-B81/100*'UK Construction'!D81/4+H81/100*'UK Construction'!D81/4</f>
        <v>1798600</v>
      </c>
      <c r="K81" s="11" t="n">
        <f aca="false">J81/'UK Construction'!D81*100</f>
        <v>82.8252881915711</v>
      </c>
      <c r="L81" s="11" t="n">
        <f aca="false">'UK Construction'!H81</f>
        <v>82.8252881915711</v>
      </c>
      <c r="M81" s="11" t="n">
        <f aca="false">I81-L81</f>
        <v>0</v>
      </c>
    </row>
    <row r="82" customFormat="false" ht="15" hidden="false" customHeight="false" outlineLevel="0" collapsed="false">
      <c r="A82" s="0" t="str">
        <f aca="false">'UK Construction'!A82</f>
        <v>2019-Q1</v>
      </c>
      <c r="B82" s="11" t="n">
        <f aca="false">'UK Construction'!E82-'UK Construction'!F82</f>
        <v>3.90781508231449</v>
      </c>
      <c r="C82" s="11" t="n">
        <f aca="false">'UK Construction'!J82</f>
        <v>2.40343458317273</v>
      </c>
      <c r="D82" s="11" t="n">
        <f aca="false">C82*100/F82</f>
        <v>2.90181252084955</v>
      </c>
      <c r="E82" s="11" t="n">
        <f aca="false">100*('UK Construction'!D82/'UK Construction'!D81-1)</f>
        <v>0.866704519656159</v>
      </c>
      <c r="F82" s="11" t="n">
        <f aca="false">'UK Construction'!H81</f>
        <v>82.8252881915711</v>
      </c>
      <c r="G82" s="11" t="n">
        <f aca="false">((1+D82/400)/(1+E82/100)-1)*F82</f>
        <v>-0.115986609197284</v>
      </c>
      <c r="H82" s="11" t="n">
        <f aca="false">4*(L82-F82-G82+B82/4)</f>
        <v>-2.60210557072289</v>
      </c>
      <c r="I82" s="11" t="n">
        <f aca="false">F82*(1+D82/400)/(1+E82/100)-B82/4+H82/4</f>
        <v>81.0818214191145</v>
      </c>
      <c r="J82" s="10" t="n">
        <f aca="false">(1+D82/400)*(F82/100*'UK Construction'!D81)-B82/100*'UK Construction'!D82/4+H82/100*'UK Construction'!D82/4</f>
        <v>1776000</v>
      </c>
      <c r="K82" s="11" t="n">
        <f aca="false">J82/'UK Construction'!D82*100</f>
        <v>81.0818214191145</v>
      </c>
      <c r="L82" s="11" t="n">
        <f aca="false">'UK Construction'!H82</f>
        <v>81.0818214191145</v>
      </c>
      <c r="M82" s="11" t="n">
        <f aca="false">I82-L82</f>
        <v>0</v>
      </c>
    </row>
    <row r="83" customFormat="false" ht="15" hidden="false" customHeight="false" outlineLevel="0" collapsed="false">
      <c r="A83" s="0" t="str">
        <f aca="false">'UK Construction'!A83</f>
        <v>2019-Q2</v>
      </c>
      <c r="B83" s="11" t="n">
        <f aca="false">'UK Construction'!E83-'UK Construction'!F83</f>
        <v>3.78254237656153</v>
      </c>
      <c r="C83" s="11" t="n">
        <f aca="false">'UK Construction'!J83</f>
        <v>3.94616459244515</v>
      </c>
      <c r="D83" s="11" t="n">
        <f aca="false">C83*100/F83</f>
        <v>4.86689189189189</v>
      </c>
      <c r="E83" s="11" t="n">
        <f aca="false">100*('UK Construction'!D83/'UK Construction'!D82-1)</f>
        <v>0.92568412786822</v>
      </c>
      <c r="F83" s="11" t="n">
        <f aca="false">'UK Construction'!H82</f>
        <v>81.0818214191145</v>
      </c>
      <c r="G83" s="11" t="n">
        <f aca="false">((1+D83/400)/(1+E83/100)-1)*F83</f>
        <v>0.233815206393953</v>
      </c>
      <c r="H83" s="11" t="n">
        <f aca="false">4*(L83-F83-G83+B83/4)</f>
        <v>5.78936749996382</v>
      </c>
      <c r="I83" s="11" t="n">
        <f aca="false">F83*(1+D83/400)/(1+E83/100)-B83/4+H83/4</f>
        <v>81.817342906359</v>
      </c>
      <c r="J83" s="10" t="n">
        <f aca="false">(1+D83/400)*(F83/100*'UK Construction'!D82)-B83/100*'UK Construction'!D83/4+H83/100*'UK Construction'!D83/4</f>
        <v>1808700</v>
      </c>
      <c r="K83" s="11" t="n">
        <f aca="false">J83/'UK Construction'!D83*100</f>
        <v>81.817342906359</v>
      </c>
      <c r="L83" s="11" t="n">
        <f aca="false">'UK Construction'!H83</f>
        <v>81.817342906359</v>
      </c>
      <c r="M83" s="11" t="n">
        <f aca="false">I83-L83</f>
        <v>0</v>
      </c>
    </row>
    <row r="84" customFormat="false" ht="15" hidden="false" customHeight="false" outlineLevel="0" collapsed="false">
      <c r="A84" s="0" t="str">
        <f aca="false">'UK Construction'!A84</f>
        <v>2019-Q3</v>
      </c>
      <c r="B84" s="11" t="n">
        <f aca="false">'UK Construction'!E84-'UK Construction'!F84</f>
        <v>3.64921334899574</v>
      </c>
      <c r="C84" s="11" t="n">
        <f aca="false">'UK Construction'!J84</f>
        <v>2.76479017992849</v>
      </c>
      <c r="D84" s="11" t="n">
        <f aca="false">C84*100/F84</f>
        <v>3.37922264609941</v>
      </c>
      <c r="E84" s="11" t="n">
        <f aca="false">100*('UK Construction'!D84/'UK Construction'!D83-1)</f>
        <v>1.00834322481653</v>
      </c>
      <c r="F84" s="11" t="n">
        <f aca="false">'UK Construction'!H83</f>
        <v>81.817342906359</v>
      </c>
      <c r="G84" s="11" t="n">
        <f aca="false">((1+D84/400)/(1+E84/100)-1)*F84</f>
        <v>-0.132466373239338</v>
      </c>
      <c r="H84" s="11" t="n">
        <f aca="false">4*(L84-F84-G84+B84/4)</f>
        <v>0.786628612322682</v>
      </c>
      <c r="I84" s="11" t="n">
        <f aca="false">F84*(1+D84/400)/(1+E84/100)-B84/4+H84/4</f>
        <v>80.9692303489514</v>
      </c>
      <c r="J84" s="10" t="n">
        <f aca="false">(1+D84/400)*(F84/100*'UK Construction'!D83)-B84/100*'UK Construction'!D84/4+H84/100*'UK Construction'!D84/4</f>
        <v>1808000</v>
      </c>
      <c r="K84" s="11" t="n">
        <f aca="false">J84/'UK Construction'!D84*100</f>
        <v>80.9692303489514</v>
      </c>
      <c r="L84" s="11" t="n">
        <f aca="false">'UK Construction'!H84</f>
        <v>80.9692303489514</v>
      </c>
      <c r="M84" s="11" t="n">
        <f aca="false">I84-L84</f>
        <v>0</v>
      </c>
    </row>
    <row r="85" customFormat="false" ht="15" hidden="false" customHeight="false" outlineLevel="0" collapsed="false">
      <c r="A85" s="0" t="str">
        <f aca="false">'UK Construction'!A85</f>
        <v>2019-Q4</v>
      </c>
      <c r="B85" s="11" t="n">
        <f aca="false">'UK Construction'!E85-'UK Construction'!F85</f>
        <v>3.38505637691908</v>
      </c>
      <c r="C85" s="11" t="n">
        <f aca="false">'UK Construction'!J85</f>
        <v>2.896083068698</v>
      </c>
      <c r="D85" s="11" t="n">
        <f aca="false">C85*100/F85</f>
        <v>3.57676991150443</v>
      </c>
      <c r="E85" s="11" t="n">
        <f aca="false">100*('UK Construction'!D85/'UK Construction'!D84-1)</f>
        <v>0.896304300997741</v>
      </c>
      <c r="F85" s="11" t="n">
        <f aca="false">'UK Construction'!H84</f>
        <v>80.9692303489514</v>
      </c>
      <c r="G85" s="11" t="n">
        <f aca="false">((1+D85/400)/(1+E85/100)-1)*F85</f>
        <v>-0.00169473692795052</v>
      </c>
      <c r="H85" s="11" t="n">
        <f aca="false">4*(L85-F85-G85+B85/4)</f>
        <v>5.75225225825037</v>
      </c>
      <c r="I85" s="11" t="n">
        <f aca="false">F85*(1+D85/400)/(1+E85/100)-B85/4+H85/4</f>
        <v>81.5593345823563</v>
      </c>
      <c r="J85" s="10" t="n">
        <f aca="false">(1+D85/400)*(F85/100*'UK Construction'!D84)-B85/100*'UK Construction'!D85/4+H85/100*'UK Construction'!D85/4</f>
        <v>1837500</v>
      </c>
      <c r="K85" s="11" t="n">
        <f aca="false">J85/'UK Construction'!D85*100</f>
        <v>81.5593345823563</v>
      </c>
      <c r="L85" s="11" t="n">
        <f aca="false">'UK Construction'!H85</f>
        <v>81.5593345823563</v>
      </c>
      <c r="M85" s="11" t="n">
        <f aca="false">I85-L85</f>
        <v>0</v>
      </c>
    </row>
    <row r="86" customFormat="false" ht="15" hidden="false" customHeight="false" outlineLevel="0" collapsed="false">
      <c r="A86" s="0" t="str">
        <f aca="false">'UK Construction'!A86</f>
        <v>2020-Q1</v>
      </c>
      <c r="B86" s="11" t="n">
        <f aca="false">'UK Construction'!E86-'UK Construction'!F86</f>
        <v>3.05799564459236</v>
      </c>
      <c r="C86" s="11" t="n">
        <f aca="false">'UK Construction'!J86</f>
        <v>2.46449006440857</v>
      </c>
      <c r="D86" s="11" t="n">
        <f aca="false">C86*100/F86</f>
        <v>3.02171428571429</v>
      </c>
      <c r="E86" s="11" t="n">
        <f aca="false">100*('UK Construction'!D86/'UK Construction'!D85-1)</f>
        <v>0.238841240483079</v>
      </c>
      <c r="F86" s="11" t="n">
        <f aca="false">'UK Construction'!H85</f>
        <v>81.5593345823563</v>
      </c>
      <c r="G86" s="11" t="n">
        <f aca="false">((1+D86/400)/(1+E86/100)-1)*F86</f>
        <v>0.420321289075055</v>
      </c>
      <c r="H86" s="11" t="n">
        <f aca="false">4*(L86-F86-G86+B86/4)</f>
        <v>-3.24414991174938</v>
      </c>
      <c r="I86" s="11" t="n">
        <f aca="false">F86*(1+D86/400)/(1+E86/100)-B86/4+H86/4</f>
        <v>80.4041194823459</v>
      </c>
      <c r="J86" s="10" t="n">
        <f aca="false">(1+D86/400)*(F86/100*'UK Construction'!D85)-B86/100*'UK Construction'!D86/4+H86/100*'UK Construction'!D86/4</f>
        <v>1815800</v>
      </c>
      <c r="K86" s="11" t="n">
        <f aca="false">J86/'UK Construction'!D86*100</f>
        <v>80.4041194823459</v>
      </c>
      <c r="L86" s="11" t="n">
        <f aca="false">'UK Construction'!H86</f>
        <v>80.4041194823459</v>
      </c>
      <c r="M86" s="11" t="n">
        <f aca="false">I86-L86</f>
        <v>0</v>
      </c>
    </row>
    <row r="87" customFormat="false" ht="15" hidden="false" customHeight="false" outlineLevel="0" collapsed="false">
      <c r="A87" s="0" t="str">
        <f aca="false">'UK Construction'!A87</f>
        <v>2020-Q2</v>
      </c>
      <c r="B87" s="11" t="n">
        <f aca="false">'UK Construction'!E87-'UK Construction'!F87</f>
        <v>-2.09499424853138</v>
      </c>
      <c r="C87" s="11" t="n">
        <f aca="false">'UK Construction'!J87</f>
        <v>2.67204878623344</v>
      </c>
      <c r="D87" s="11" t="n">
        <f aca="false">C87*100/F87</f>
        <v>3.32327348826963</v>
      </c>
      <c r="E87" s="11" t="n">
        <f aca="false">100*('UK Construction'!D87/'UK Construction'!D86-1)</f>
        <v>-3.5321488065138</v>
      </c>
      <c r="F87" s="11" t="n">
        <f aca="false">'UK Construction'!H86</f>
        <v>80.4041194823459</v>
      </c>
      <c r="G87" s="11" t="n">
        <f aca="false">((1+D87/400)/(1+E87/100)-1)*F87</f>
        <v>3.63645017468664</v>
      </c>
      <c r="H87" s="11" t="n">
        <f aca="false">4*(L87-F87-G87+B87/4)</f>
        <v>33.4354031582126</v>
      </c>
      <c r="I87" s="11" t="n">
        <f aca="false">F87*(1+D87/400)/(1+E87/100)-B87/4+H87/4</f>
        <v>92.9231690087186</v>
      </c>
      <c r="J87" s="10" t="n">
        <f aca="false">(1+D87/400)*(F87/100*'UK Construction'!D86)-B87/100*'UK Construction'!D87/4+H87/100*'UK Construction'!D87/4</f>
        <v>2024400</v>
      </c>
      <c r="K87" s="11" t="n">
        <f aca="false">J87/'UK Construction'!D87*100</f>
        <v>92.9231690087186</v>
      </c>
      <c r="L87" s="11" t="n">
        <f aca="false">'UK Construction'!H87</f>
        <v>92.9231690087186</v>
      </c>
      <c r="M87" s="11" t="n">
        <f aca="false">I87-L87</f>
        <v>0</v>
      </c>
    </row>
    <row r="88" customFormat="false" ht="15" hidden="false" customHeight="false" outlineLevel="0" collapsed="false">
      <c r="A88" s="0" t="str">
        <f aca="false">'UK Construction'!A88</f>
        <v>2020-Q3</v>
      </c>
      <c r="B88" s="11" t="n">
        <f aca="false">'UK Construction'!E88-'UK Construction'!F88</f>
        <v>-4.97229300162402</v>
      </c>
      <c r="C88" s="11" t="n">
        <f aca="false">'UK Construction'!J88</f>
        <v>2.5550658366436</v>
      </c>
      <c r="D88" s="11" t="n">
        <f aca="false">C88*100/F88</f>
        <v>2.74965421853389</v>
      </c>
      <c r="E88" s="11" t="n">
        <f aca="false">100*('UK Construction'!D88/'UK Construction'!D87-1)</f>
        <v>-1.24540180870606</v>
      </c>
      <c r="F88" s="11" t="n">
        <f aca="false">'UK Construction'!H87</f>
        <v>92.9231690087186</v>
      </c>
      <c r="G88" s="11" t="n">
        <f aca="false">((1+D88/400)/(1+E88/100)-1)*F88</f>
        <v>1.81868320017204</v>
      </c>
      <c r="H88" s="11" t="n">
        <f aca="false">4*(L88-F88-G88+B88/4)</f>
        <v>0.732531948339779</v>
      </c>
      <c r="I88" s="11" t="n">
        <f aca="false">F88*(1+D88/400)/(1+E88/100)-B88/4+H88/4</f>
        <v>96.1680584463815</v>
      </c>
      <c r="J88" s="10" t="n">
        <f aca="false">(1+D88/400)*(F88/100*'UK Construction'!D87)-B88/100*'UK Construction'!D88/4+H88/100*'UK Construction'!D88/4</f>
        <v>2069000</v>
      </c>
      <c r="K88" s="11" t="n">
        <f aca="false">J88/'UK Construction'!D88*100</f>
        <v>96.1680584463815</v>
      </c>
      <c r="L88" s="11" t="n">
        <f aca="false">'UK Construction'!H88</f>
        <v>96.1680584463815</v>
      </c>
      <c r="M88" s="11" t="n">
        <f aca="false">I88-L88</f>
        <v>0</v>
      </c>
    </row>
    <row r="89" customFormat="false" ht="15" hidden="false" customHeight="false" outlineLevel="0" collapsed="false">
      <c r="A89" s="0" t="str">
        <f aca="false">'UK Construction'!A89</f>
        <v>2020-Q4</v>
      </c>
      <c r="B89" s="11" t="n">
        <f aca="false">'UK Construction'!E89-'UK Construction'!F89</f>
        <v>-7.12719793666931</v>
      </c>
      <c r="C89" s="11" t="n">
        <f aca="false">'UK Construction'!J89</f>
        <v>2.21098221564885</v>
      </c>
      <c r="D89" s="11" t="n">
        <f aca="false">C89*100/F89</f>
        <v>2.29908168197197</v>
      </c>
      <c r="E89" s="11" t="n">
        <f aca="false">100*('UK Construction'!D89/'UK Construction'!D88-1)</f>
        <v>-1.24205068042736</v>
      </c>
      <c r="F89" s="11" t="n">
        <f aca="false">'UK Construction'!H88</f>
        <v>96.1680584463815</v>
      </c>
      <c r="G89" s="11" t="n">
        <f aca="false">((1+D89/400)/(1+E89/100)-1)*F89</f>
        <v>1.76917563622698</v>
      </c>
      <c r="H89" s="11" t="n">
        <f aca="false">4*(L89-F89-G89+B89/4)</f>
        <v>6.3537313151851</v>
      </c>
      <c r="I89" s="11" t="n">
        <f aca="false">F89*(1+D89/400)/(1+E89/100)-B89/4+H89/4</f>
        <v>101.307466395572</v>
      </c>
      <c r="J89" s="10" t="n">
        <f aca="false">(1+D89/400)*(F89/100*'UK Construction'!D88)-B89/100*'UK Construction'!D89/4+H89/100*'UK Construction'!D89/4</f>
        <v>2152500</v>
      </c>
      <c r="K89" s="11" t="n">
        <f aca="false">J89/'UK Construction'!D89*100</f>
        <v>101.307466395572</v>
      </c>
      <c r="L89" s="11" t="n">
        <f aca="false">'UK Construction'!H89</f>
        <v>101.307466395572</v>
      </c>
      <c r="M89" s="11" t="n">
        <f aca="false">I89-L89</f>
        <v>0</v>
      </c>
    </row>
    <row r="90" customFormat="false" ht="15" hidden="false" customHeight="false" outlineLevel="0" collapsed="false">
      <c r="A90" s="0" t="str">
        <f aca="false">'UK Construction'!A90</f>
        <v>2021-Q1</v>
      </c>
      <c r="B90" s="11" t="n">
        <f aca="false">'UK Construction'!E90-'UK Construction'!F90</f>
        <v>-9.18960743833959</v>
      </c>
      <c r="C90" s="11" t="n">
        <f aca="false">'UK Construction'!J90</f>
        <v>2.31465793139802</v>
      </c>
      <c r="D90" s="11" t="n">
        <f aca="false">C90*100/F90</f>
        <v>2.28478513356562</v>
      </c>
      <c r="E90" s="11" t="n">
        <f aca="false">100*('UK Construction'!D90/'UK Construction'!D89-1)</f>
        <v>-0.670629541774914</v>
      </c>
      <c r="F90" s="11" t="n">
        <f aca="false">'UK Construction'!H89</f>
        <v>101.307466395572</v>
      </c>
      <c r="G90" s="11" t="n">
        <f aca="false">((1+D90/400)/(1+E90/100)-1)*F90</f>
        <v>1.26655618043103</v>
      </c>
      <c r="H90" s="11" t="n">
        <f aca="false">4*(L90-F90-G90+B90/4)</f>
        <v>-11.0271119574729</v>
      </c>
      <c r="I90" s="11" t="n">
        <f aca="false">F90*(1+D90/400)/(1+E90/100)-B90/4+H90/4</f>
        <v>102.11464644622</v>
      </c>
      <c r="J90" s="10" t="n">
        <f aca="false">(1+D90/400)*(F90/100*'UK Construction'!D89)-B90/100*'UK Construction'!D90/4+H90/100*'UK Construction'!D90/4</f>
        <v>2155100</v>
      </c>
      <c r="K90" s="11" t="n">
        <f aca="false">J90/'UK Construction'!D90*100</f>
        <v>102.11464644622</v>
      </c>
      <c r="L90" s="11" t="n">
        <f aca="false">'UK Construction'!H90</f>
        <v>102.11464644622</v>
      </c>
      <c r="M90" s="11" t="n">
        <f aca="false">I90-L90</f>
        <v>0</v>
      </c>
    </row>
    <row r="91" customFormat="false" ht="15" hidden="false" customHeight="false" outlineLevel="0" collapsed="false">
      <c r="A91" s="0" t="str">
        <f aca="false">'UK Construction'!A91</f>
        <v>2021-Q2</v>
      </c>
      <c r="B91" s="11" t="n">
        <f aca="false">'UK Construction'!E91-'UK Construction'!F91</f>
        <v>-5.19655503364132</v>
      </c>
      <c r="C91" s="11" t="n">
        <f aca="false">'UK Construction'!J91</f>
        <v>4.06506414918755</v>
      </c>
      <c r="D91" s="11" t="n">
        <f aca="false">C91*100/F91</f>
        <v>3.98088255765394</v>
      </c>
      <c r="E91" s="11" t="n">
        <f aca="false">100*('UK Construction'!D91/'UK Construction'!D90-1)</f>
        <v>4.51548493203651</v>
      </c>
      <c r="F91" s="11" t="n">
        <f aca="false">'UK Construction'!H90</f>
        <v>102.11464644622</v>
      </c>
      <c r="G91" s="11" t="n">
        <f aca="false">((1+D91/400)/(1+E91/100)-1)*F91</f>
        <v>-3.43939985421496</v>
      </c>
      <c r="H91" s="11" t="n">
        <f aca="false">4*(L91-F91-G91+B91/4)</f>
        <v>3.6623961983327</v>
      </c>
      <c r="I91" s="11" t="n">
        <f aca="false">F91*(1+D91/400)/(1+E91/100)-B91/4+H91/4</f>
        <v>100.889984399998</v>
      </c>
      <c r="J91" s="10" t="n">
        <f aca="false">(1+D91/400)*(F91/100*'UK Construction'!D90)-B91/100*'UK Construction'!D91/4+H91/100*'UK Construction'!D91/4</f>
        <v>2225400</v>
      </c>
      <c r="K91" s="11" t="n">
        <f aca="false">J91/'UK Construction'!D91*100</f>
        <v>100.889984399998</v>
      </c>
      <c r="L91" s="11" t="n">
        <f aca="false">'UK Construction'!H91</f>
        <v>100.889984399998</v>
      </c>
      <c r="M91" s="11" t="n">
        <f aca="false">I91-L91</f>
        <v>0</v>
      </c>
    </row>
    <row r="92" customFormat="false" ht="15" hidden="false" customHeight="false" outlineLevel="0" collapsed="false">
      <c r="A92" s="0" t="str">
        <f aca="false">'UK Construction'!A92</f>
        <v>2021-Q3</v>
      </c>
      <c r="B92" s="11" t="n">
        <f aca="false">'UK Construction'!E92-'UK Construction'!F92</f>
        <v>-3.16271189292861</v>
      </c>
      <c r="C92" s="11" t="n">
        <f aca="false">'UK Construction'!J92</f>
        <v>3.34033164850898</v>
      </c>
      <c r="D92" s="11" t="n">
        <f aca="false">C92*100/F92</f>
        <v>3.31086546238878</v>
      </c>
      <c r="E92" s="11" t="n">
        <f aca="false">100*('UK Construction'!D92/'UK Construction'!D91-1)</f>
        <v>2.37504471229761</v>
      </c>
      <c r="F92" s="11" t="n">
        <f aca="false">'UK Construction'!H91</f>
        <v>100.889984399998</v>
      </c>
      <c r="G92" s="11" t="n">
        <f aca="false">((1+D92/400)/(1+E92/100)-1)*F92</f>
        <v>-1.52488268209301</v>
      </c>
      <c r="H92" s="11" t="n">
        <f aca="false">4*(L92-F92-G92+B92/4)</f>
        <v>-4.44163094062994</v>
      </c>
      <c r="I92" s="11" t="n">
        <f aca="false">F92*(1+D92/400)/(1+E92/100)-B92/4+H92/4</f>
        <v>99.04537195598</v>
      </c>
      <c r="J92" s="10" t="n">
        <f aca="false">(1+D92/400)*(F92/100*'UK Construction'!D91)-B92/100*'UK Construction'!D92/4+H92/100*'UK Construction'!D92/4</f>
        <v>2236600</v>
      </c>
      <c r="K92" s="11" t="n">
        <f aca="false">J92/'UK Construction'!D92*100</f>
        <v>99.04537195598</v>
      </c>
      <c r="L92" s="11" t="n">
        <f aca="false">'UK Construction'!H92</f>
        <v>99.04537195598</v>
      </c>
      <c r="M92" s="11" t="n">
        <f aca="false">I92-L92</f>
        <v>0</v>
      </c>
    </row>
    <row r="93" customFormat="false" ht="15" hidden="false" customHeight="false" outlineLevel="0" collapsed="false">
      <c r="A93" s="0" t="str">
        <f aca="false">'UK Construction'!A93</f>
        <v>2021-Q4</v>
      </c>
      <c r="B93" s="11" t="n">
        <f aca="false">'UK Construction'!E93-'UK Construction'!F93</f>
        <v>-0.971690980827084</v>
      </c>
      <c r="C93" s="11" t="n">
        <f aca="false">'UK Construction'!J93</f>
        <v>3.99653345626544</v>
      </c>
      <c r="D93" s="11" t="n">
        <f aca="false">C93*100/F93</f>
        <v>4.03505320575874</v>
      </c>
      <c r="E93" s="11" t="n">
        <f aca="false">100*('UK Construction'!D93/'UK Construction'!D92-1)</f>
        <v>2.85609016556423</v>
      </c>
      <c r="F93" s="11" t="n">
        <f aca="false">'UK Construction'!H92</f>
        <v>99.04537195598</v>
      </c>
      <c r="G93" s="11" t="n">
        <f aca="false">((1+D93/400)/(1+E93/100)-1)*F93</f>
        <v>-1.77888519860098</v>
      </c>
      <c r="H93" s="11" t="n">
        <f aca="false">4*(L93-F93-G93+B93/4)</f>
        <v>17.203739518447</v>
      </c>
      <c r="I93" s="11" t="n">
        <f aca="false">F93*(1+D93/400)/(1+E93/100)-B93/4+H93/4</f>
        <v>101.810344382198</v>
      </c>
      <c r="J93" s="10" t="n">
        <f aca="false">(1+D93/400)*(F93/100*'UK Construction'!D92)-B93/100*'UK Construction'!D93/4+H93/100*'UK Construction'!D93/4</f>
        <v>2364700</v>
      </c>
      <c r="K93" s="11" t="n">
        <f aca="false">J93/'UK Construction'!D93*100</f>
        <v>101.810344382198</v>
      </c>
      <c r="L93" s="11" t="n">
        <f aca="false">'UK Construction'!H93</f>
        <v>101.810344382198</v>
      </c>
      <c r="M93" s="11" t="n">
        <f aca="false">I93-L93</f>
        <v>0</v>
      </c>
    </row>
    <row r="94" customFormat="false" ht="15" hidden="false" customHeight="false" outlineLevel="0" collapsed="false">
      <c r="A94" s="0" t="str">
        <f aca="false">'UK Construction'!A94</f>
        <v>2022-Q1</v>
      </c>
      <c r="B94" s="11" t="n">
        <f aca="false">'UK Construction'!E94-'UK Construction'!F94</f>
        <v>1.24475640998938</v>
      </c>
      <c r="C94" s="11" t="n">
        <f aca="false">'UK Construction'!J94</f>
        <v>3.91896848946807</v>
      </c>
      <c r="D94" s="11" t="n">
        <f aca="false">C94*100/F94</f>
        <v>3.84928320717216</v>
      </c>
      <c r="E94" s="11" t="n">
        <f aca="false">100*('UK Construction'!D94/'UK Construction'!D93-1)</f>
        <v>3.353838629291</v>
      </c>
      <c r="F94" s="11" t="n">
        <f aca="false">'UK Construction'!H93</f>
        <v>101.810344382198</v>
      </c>
      <c r="G94" s="11" t="n">
        <f aca="false">((1+D94/400)/(1+E94/100)-1)*F94</f>
        <v>-2.35580271466307</v>
      </c>
      <c r="H94" s="11" t="n">
        <f aca="false">4*(L94-F94-G94+B94/4)</f>
        <v>0.135677240632402</v>
      </c>
      <c r="I94" s="11" t="n">
        <f aca="false">F94*(1+D94/400)/(1+E94/100)-B94/4+H94/4</f>
        <v>99.1772718751953</v>
      </c>
      <c r="J94" s="10" t="n">
        <f aca="false">(1+D94/400)*(F94/100*'UK Construction'!D93)-B94/100*'UK Construction'!D94/4+H94/100*'UK Construction'!D94/4</f>
        <v>2380800</v>
      </c>
      <c r="K94" s="11" t="n">
        <f aca="false">J94/'UK Construction'!D94*100</f>
        <v>99.1772718751953</v>
      </c>
      <c r="L94" s="11" t="n">
        <f aca="false">'UK Construction'!H94</f>
        <v>99.1772718751953</v>
      </c>
      <c r="M94" s="11" t="n">
        <f aca="false">I94-L94</f>
        <v>0</v>
      </c>
    </row>
    <row r="95" customFormat="false" ht="15" hidden="false" customHeight="false" outlineLevel="0" collapsed="false">
      <c r="A95" s="0" t="str">
        <f aca="false">'UK Construction'!A95</f>
        <v>2022-Q2</v>
      </c>
      <c r="B95" s="11" t="n">
        <f aca="false">'UK Construction'!E95-'UK Construction'!F95</f>
        <v>2.79472646243806</v>
      </c>
      <c r="C95" s="11" t="n">
        <f aca="false">'UK Construction'!J95</f>
        <v>6.86259398887755</v>
      </c>
      <c r="D95" s="11" t="n">
        <f aca="false">C95*100/F95</f>
        <v>6.91952284946237</v>
      </c>
      <c r="E95" s="11" t="n">
        <f aca="false">100*('UK Construction'!D95/'UK Construction'!D94-1)</f>
        <v>2.61473412343005</v>
      </c>
      <c r="F95" s="11" t="n">
        <f aca="false">'UK Construction'!H94</f>
        <v>99.1772718751953</v>
      </c>
      <c r="G95" s="11" t="n">
        <f aca="false">((1+D95/400)/(1+E95/100)-1)*F95</f>
        <v>-0.855211954389263</v>
      </c>
      <c r="H95" s="11" t="n">
        <f aca="false">4*(L95-F95-G95+B95/4)</f>
        <v>3.43045437089319</v>
      </c>
      <c r="I95" s="11" t="n">
        <f aca="false">F95*(1+D95/400)/(1+E95/100)-B95/4+H95/4</f>
        <v>98.4809918979198</v>
      </c>
      <c r="J95" s="10" t="n">
        <f aca="false">(1+D95/400)*(F95/100*'UK Construction'!D94)-B95/100*'UK Construction'!D95/4+H95/100*'UK Construction'!D95/4</f>
        <v>2425900</v>
      </c>
      <c r="K95" s="11" t="n">
        <f aca="false">J95/'UK Construction'!D95*100</f>
        <v>98.4809918979198</v>
      </c>
      <c r="L95" s="11" t="n">
        <f aca="false">'UK Construction'!H95</f>
        <v>98.4809918979198</v>
      </c>
      <c r="M95" s="11" t="n">
        <f aca="false">I95-L95</f>
        <v>0</v>
      </c>
    </row>
    <row r="96" customFormat="false" ht="15" hidden="false" customHeight="false" outlineLevel="0" collapsed="false">
      <c r="A96" s="0" t="str">
        <f aca="false">'UK Construction'!A96</f>
        <v>2022-Q3</v>
      </c>
      <c r="B96" s="11" t="n">
        <f aca="false">'UK Construction'!E96-'UK Construction'!F96</f>
        <v>3.77988483222286</v>
      </c>
      <c r="C96" s="11" t="n">
        <f aca="false">'UK Construction'!J96</f>
        <v>5.21134502325725</v>
      </c>
      <c r="D96" s="11" t="n">
        <f aca="false">C96*100/F96</f>
        <v>5.29172678181294</v>
      </c>
      <c r="E96" s="11" t="n">
        <f aca="false">100*('UK Construction'!D96/'UK Construction'!D95-1)</f>
        <v>2.3353054701017</v>
      </c>
      <c r="F96" s="11" t="n">
        <f aca="false">'UK Construction'!H95</f>
        <v>98.4809918979198</v>
      </c>
      <c r="G96" s="11" t="n">
        <f aca="false">((1+D96/400)/(1+E96/100)-1)*F96</f>
        <v>-0.974244157877168</v>
      </c>
      <c r="H96" s="11" t="n">
        <f aca="false">4*(L96-F96-G96+B96/4)</f>
        <v>1.52778196508784</v>
      </c>
      <c r="I96" s="11" t="n">
        <f aca="false">F96*(1+D96/400)/(1+E96/100)-B96/4+H96/4</f>
        <v>96.9437220232589</v>
      </c>
      <c r="J96" s="10" t="n">
        <f aca="false">(1+D96/400)*(F96/100*'UK Construction'!D95)-B96/100*'UK Construction'!D96/4+H96/100*'UK Construction'!D96/4</f>
        <v>2443800</v>
      </c>
      <c r="K96" s="11" t="n">
        <f aca="false">J96/'UK Construction'!D96*100</f>
        <v>96.9437220232589</v>
      </c>
      <c r="L96" s="11" t="n">
        <f aca="false">'UK Construction'!H96</f>
        <v>96.9437220232589</v>
      </c>
      <c r="M96" s="11" t="n">
        <f aca="false">I96-L96</f>
        <v>0</v>
      </c>
    </row>
    <row r="97" customFormat="false" ht="15" hidden="false" customHeight="false" outlineLevel="0" collapsed="false">
      <c r="A97" s="0" t="str">
        <f aca="false">'UK Construction'!A97</f>
        <v>2022-Q4</v>
      </c>
      <c r="B97" s="11" t="n">
        <f aca="false">'UK Construction'!E97-'UK Construction'!F97</f>
        <v>3.9303372519178</v>
      </c>
      <c r="C97" s="11" t="n">
        <f aca="false">'UK Construction'!J97</f>
        <v>6.91562032398673</v>
      </c>
      <c r="D97" s="11" t="n">
        <f aca="false">C97*100/F97</f>
        <v>7.1336443244128</v>
      </c>
      <c r="E97" s="11" t="n">
        <f aca="false">100*('UK Construction'!D97/'UK Construction'!D96-1)</f>
        <v>2.38432048948685</v>
      </c>
      <c r="F97" s="11" t="n">
        <f aca="false">'UK Construction'!H96</f>
        <v>96.9437220232589</v>
      </c>
      <c r="G97" s="11" t="n">
        <f aca="false">((1+D97/400)/(1+E97/100)-1)*F97</f>
        <v>-0.568977694719252</v>
      </c>
      <c r="H97" s="11" t="n">
        <f aca="false">4*(L97-F97-G97+B97/4)</f>
        <v>6.08721830613466</v>
      </c>
      <c r="I97" s="11" t="n">
        <f aca="false">F97*(1+D97/400)/(1+E97/100)-B97/4+H97/4</f>
        <v>96.9139645920938</v>
      </c>
      <c r="J97" s="10" t="n">
        <f aca="false">(1+D97/400)*(F97/100*'UK Construction'!D96)-B97/100*'UK Construction'!D97/4+H97/100*'UK Construction'!D97/4</f>
        <v>2501300</v>
      </c>
      <c r="K97" s="11" t="n">
        <f aca="false">J97/'UK Construction'!D97*100</f>
        <v>96.9139645920938</v>
      </c>
      <c r="L97" s="11" t="n">
        <f aca="false">'UK Construction'!H97</f>
        <v>96.9139645920938</v>
      </c>
      <c r="M97" s="11" t="n">
        <f aca="false">I97-L97</f>
        <v>0</v>
      </c>
    </row>
    <row r="98" customFormat="false" ht="15" hidden="false" customHeight="false" outlineLevel="0" collapsed="false">
      <c r="A98" s="0" t="str">
        <f aca="false">'UK Construction'!A98</f>
        <v>2023-Q1</v>
      </c>
      <c r="B98" s="11" t="n">
        <f aca="false">'UK Construction'!E98-'UK Construction'!F98</f>
        <v>3.58222900737886</v>
      </c>
      <c r="C98" s="11" t="n">
        <f aca="false">'UK Construction'!J98</f>
        <v>5.16492189500839</v>
      </c>
      <c r="D98" s="11" t="n">
        <f aca="false">C98*100/F98</f>
        <v>5.32938871786671</v>
      </c>
      <c r="E98" s="11" t="n">
        <f aca="false">100*('UK Construction'!D98/'UK Construction'!D97-1)</f>
        <v>2.17671871857987</v>
      </c>
      <c r="F98" s="11" t="n">
        <f aca="false">'UK Construction'!H97</f>
        <v>96.9139645920938</v>
      </c>
      <c r="G98" s="11" t="n">
        <f aca="false">((1+D98/400)/(1+E98/100)-1)*F98</f>
        <v>-0.800881007635124</v>
      </c>
      <c r="H98" s="11" t="n">
        <f aca="false">4*(L98-F98-G98+B98/4)</f>
        <v>5.23159845422807</v>
      </c>
      <c r="I98" s="11" t="n">
        <f aca="false">F98*(1+D98/400)/(1+E98/100)-B98/4+H98/4</f>
        <v>96.525425946171</v>
      </c>
      <c r="J98" s="10" t="n">
        <f aca="false">(1+D98/400)*(F98/100*'UK Construction'!D97)-B98/100*'UK Construction'!D98/4+H98/100*'UK Construction'!D98/4</f>
        <v>2545500</v>
      </c>
      <c r="K98" s="11" t="n">
        <f aca="false">J98/'UK Construction'!D98*100</f>
        <v>96.525425946171</v>
      </c>
      <c r="L98" s="11" t="n">
        <f aca="false">'UK Construction'!H98</f>
        <v>96.525425946171</v>
      </c>
      <c r="M98" s="11" t="n">
        <f aca="false">I98-L98</f>
        <v>0</v>
      </c>
    </row>
    <row r="99" customFormat="false" ht="15" hidden="false" customHeight="false" outlineLevel="0" collapsed="false">
      <c r="A99" s="0" t="str">
        <f aca="false">'UK Construction'!A99</f>
        <v>2023-Q2</v>
      </c>
      <c r="B99" s="11" t="n">
        <f aca="false">'UK Construction'!E99-'UK Construction'!F99</f>
        <v>3.34413165769535</v>
      </c>
      <c r="C99" s="11" t="n">
        <f aca="false">'UK Construction'!J99</f>
        <v>7.32084020159803</v>
      </c>
      <c r="D99" s="11" t="n">
        <f aca="false">C99*100/F99</f>
        <v>7.58436456491848</v>
      </c>
      <c r="E99" s="11" t="n">
        <f aca="false">100*('UK Construction'!D99/'UK Construction'!D98-1)</f>
        <v>1.90832530376786</v>
      </c>
      <c r="F99" s="11" t="n">
        <f aca="false">'UK Construction'!H98</f>
        <v>96.525425946171</v>
      </c>
      <c r="G99" s="11" t="n">
        <f aca="false">((1+D99/400)/(1+E99/100)-1)*F99</f>
        <v>-0.0115879418740163</v>
      </c>
      <c r="H99" s="11" t="n">
        <f aca="false">4*(L99-F99-G99+B99/4)</f>
        <v>5.8200810134797</v>
      </c>
      <c r="I99" s="11" t="n">
        <f aca="false">F99*(1+D99/400)/(1+E99/100)-B99/4+H99/4</f>
        <v>97.1328253432431</v>
      </c>
      <c r="J99" s="10" t="n">
        <f aca="false">(1+D99/400)*(F99/100*'UK Construction'!D98)-B99/100*'UK Construction'!D99/4+H99/100*'UK Construction'!D99/4</f>
        <v>2610400</v>
      </c>
      <c r="K99" s="11" t="n">
        <f aca="false">J99/'UK Construction'!D99*100</f>
        <v>97.1328253432431</v>
      </c>
      <c r="L99" s="11" t="n">
        <f aca="false">'UK Construction'!H99</f>
        <v>97.1328253432431</v>
      </c>
      <c r="M99" s="11" t="n">
        <f aca="false">I99-L99</f>
        <v>0</v>
      </c>
    </row>
    <row r="100" customFormat="false" ht="15" hidden="false" customHeight="false" outlineLevel="0" collapsed="false">
      <c r="A100" s="0" t="str">
        <f aca="false">'UK Construction'!A100</f>
        <v>2023-Q3</v>
      </c>
      <c r="B100" s="11" t="n">
        <f aca="false">'UK Construction'!E100-'UK Construction'!F100</f>
        <v>3.1900558310133</v>
      </c>
      <c r="C100" s="11" t="n">
        <f aca="false">'UK Construction'!J100</f>
        <v>4.95666158378897</v>
      </c>
      <c r="D100" s="11" t="n">
        <f aca="false">C100*100/F100</f>
        <v>5.10297272448667</v>
      </c>
      <c r="E100" s="11" t="n">
        <f aca="false">100*('UK Construction'!D100/'UK Construction'!D99-1)</f>
        <v>1.59068769177073</v>
      </c>
      <c r="F100" s="11" t="n">
        <f aca="false">'UK Construction'!H99</f>
        <v>97.1328253432431</v>
      </c>
      <c r="G100" s="11" t="n">
        <f aca="false">((1+D100/400)/(1+E100/100)-1)*F100</f>
        <v>-0.301124550298385</v>
      </c>
      <c r="H100" s="11" t="n">
        <f aca="false">4*(L100-F100-G100+B100/4)</f>
        <v>-1.7915517637333</v>
      </c>
      <c r="I100" s="11" t="n">
        <f aca="false">F100*(1+D100/400)/(1+E100/100)-B100/4+H100/4</f>
        <v>95.586298894258</v>
      </c>
      <c r="J100" s="10" t="n">
        <f aca="false">(1+D100/400)*(F100/100*'UK Construction'!D99)-B100/100*'UK Construction'!D100/4+H100/100*'UK Construction'!D100/4</f>
        <v>2609700</v>
      </c>
      <c r="K100" s="11" t="n">
        <f aca="false">J100/'UK Construction'!D100*100</f>
        <v>95.5862988942581</v>
      </c>
      <c r="L100" s="11" t="n">
        <f aca="false">'UK Construction'!H100</f>
        <v>95.5862988942581</v>
      </c>
      <c r="M100" s="11" t="n">
        <f aca="false">I100-L100</f>
        <v>0</v>
      </c>
    </row>
    <row r="101" customFormat="false" ht="15" hidden="false" customHeight="false" outlineLevel="0" collapsed="false">
      <c r="A101" s="0" t="str">
        <f aca="false">'UK Construction'!A101</f>
        <v>2023-Q4</v>
      </c>
      <c r="B101" s="11" t="n">
        <f aca="false">'UK Construction'!E101-'UK Construction'!F101</f>
        <v>3.12510446325146</v>
      </c>
      <c r="C101" s="11" t="n">
        <f aca="false">'UK Construction'!J101</f>
        <v>5.65760128459312</v>
      </c>
      <c r="D101" s="11" t="n">
        <f aca="false">C101*100/F101</f>
        <v>5.91884124612024</v>
      </c>
      <c r="E101" s="11" t="n">
        <f aca="false">100*('UK Construction'!D101/'UK Construction'!D100-1)</f>
        <v>0.804372422123922</v>
      </c>
      <c r="F101" s="11" t="n">
        <f aca="false">'UK Construction'!H100</f>
        <v>95.5862988942581</v>
      </c>
      <c r="G101" s="11" t="n">
        <f aca="false">((1+D101/400)/(1+E101/100)-1)*F101</f>
        <v>0.640379457758768</v>
      </c>
      <c r="H101" s="11" t="n">
        <f aca="false">4*(L101-F101-G101+B101/4)</f>
        <v>10.0119033604102</v>
      </c>
      <c r="I101" s="11" t="n">
        <f aca="false">F101*(1+D101/400)/(1+E101/100)-B101/4+H101/4</f>
        <v>97.9483780763065</v>
      </c>
      <c r="J101" s="10" t="n">
        <f aca="false">(1+D101/400)*(F101/100*'UK Construction'!D100)-B101/100*'UK Construction'!D101/4+H101/100*'UK Construction'!D101/4</f>
        <v>2695700</v>
      </c>
      <c r="K101" s="11" t="n">
        <f aca="false">J101/'UK Construction'!D101*100</f>
        <v>97.9483780763065</v>
      </c>
      <c r="L101" s="11" t="n">
        <f aca="false">'UK Construction'!H101</f>
        <v>97.9483780763065</v>
      </c>
      <c r="M101" s="11" t="n">
        <f aca="false">I101-L101</f>
        <v>0</v>
      </c>
    </row>
    <row r="102" customFormat="false" ht="15" hidden="false" customHeight="false" outlineLevel="0" collapsed="false">
      <c r="A102" s="0" t="str">
        <f aca="false">'UK Construction'!A102</f>
        <v>2024-Q1</v>
      </c>
      <c r="B102" s="11" t="n">
        <f aca="false">'UK Construction'!E102-'UK Construction'!F102</f>
        <v>3.41027653701958</v>
      </c>
      <c r="C102" s="11" t="n">
        <f aca="false">'UK Construction'!J102</f>
        <v>4.75683861862883</v>
      </c>
      <c r="D102" s="11" t="n">
        <f aca="false">C102*100/F102</f>
        <v>4.8564751270542</v>
      </c>
      <c r="E102" s="11" t="n">
        <f aca="false">100*('UK Construction'!D102/'UK Construction'!D101-1)</f>
        <v>0.958482125338467</v>
      </c>
      <c r="F102" s="11" t="n">
        <f aca="false">'UK Construction'!H101</f>
        <v>97.9483780763065</v>
      </c>
      <c r="G102" s="11" t="n">
        <f aca="false">((1+D102/400)/(1+E102/100)-1)*F102</f>
        <v>0.248014781389042</v>
      </c>
      <c r="H102" s="11" t="n">
        <f aca="false">4*(L102-F102-G102+B102/4)</f>
        <v>-2.75540094214839</v>
      </c>
      <c r="I102" s="11" t="n">
        <f aca="false">F102*(1+D102/400)/(1+E102/100)-B102/4+H102/4</f>
        <v>96.6549734879036</v>
      </c>
      <c r="J102" s="10" t="n">
        <f aca="false">(1+D102/400)*(F102/100*'UK Construction'!D101)-B102/100*'UK Construction'!D102/4+H102/100*'UK Construction'!D102/4</f>
        <v>2685600</v>
      </c>
      <c r="K102" s="11" t="n">
        <f aca="false">J102/'UK Construction'!D102*100</f>
        <v>96.6549734879036</v>
      </c>
      <c r="L102" s="11" t="n">
        <f aca="false">'UK Construction'!H102</f>
        <v>96.6549734879036</v>
      </c>
      <c r="M102" s="11" t="n">
        <f aca="false">I102-L102</f>
        <v>0</v>
      </c>
    </row>
    <row r="103" customFormat="false" ht="15" hidden="false" customHeight="false" outlineLevel="0" collapsed="false">
      <c r="A103" s="0" t="str">
        <f aca="false">'UK Construction'!A103</f>
        <v>2024-Q2</v>
      </c>
      <c r="B103" s="11" t="n">
        <f aca="false">'UK Construction'!E103-'UK Construction'!F103</f>
        <v>3.22888424142882</v>
      </c>
      <c r="C103" s="11" t="n">
        <f aca="false">'UK Construction'!J103</f>
        <v>5.94325875107925</v>
      </c>
      <c r="D103" s="11" t="n">
        <f aca="false">C103*100/F103</f>
        <v>6.14894250819184</v>
      </c>
      <c r="E103" s="11" t="n">
        <f aca="false">100*('UK Construction'!D103/'UK Construction'!D102-1)</f>
        <v>1.01661194374174</v>
      </c>
      <c r="F103" s="11" t="n">
        <f aca="false">'UK Construction'!H102</f>
        <v>96.6549734879036</v>
      </c>
      <c r="G103" s="11" t="n">
        <f aca="false">((1+D103/400)/(1+E103/100)-1)*F103</f>
        <v>0.498144486722257</v>
      </c>
      <c r="H103" s="11" t="n">
        <f aca="false">4*(L103-F103-G103+B103/4)</f>
        <v>3.80121063563721</v>
      </c>
      <c r="I103" s="11" t="n">
        <f aca="false">F103*(1+D103/400)/(1+E103/100)-B103/4+H103/4</f>
        <v>97.2961995731779</v>
      </c>
      <c r="J103" s="10" t="n">
        <f aca="false">(1+D103/400)*(F103/100*'UK Construction'!D102)-B103/100*'UK Construction'!D103/4+H103/100*'UK Construction'!D103/4</f>
        <v>2730900</v>
      </c>
      <c r="K103" s="11" t="n">
        <f aca="false">J103/'UK Construction'!D103*100</f>
        <v>97.2961995731779</v>
      </c>
      <c r="L103" s="11" t="n">
        <f aca="false">'UK Construction'!H103</f>
        <v>97.2961995731779</v>
      </c>
      <c r="M103" s="11" t="n">
        <f aca="false">I103-L103</f>
        <v>0</v>
      </c>
    </row>
    <row r="104" customFormat="false" ht="15" hidden="false" customHeight="false" outlineLevel="0" collapsed="false">
      <c r="A104" s="0" t="str">
        <f aca="false">'UK Construction'!A104</f>
        <v>2024-Q3</v>
      </c>
      <c r="B104" s="11" t="n">
        <f aca="false">'UK Construction'!E104-'UK Construction'!F104</f>
        <v>2.71876104420848</v>
      </c>
      <c r="C104" s="11" t="n">
        <f aca="false">'UK Construction'!J104</f>
        <v>4.25168965259246</v>
      </c>
      <c r="D104" s="11" t="n">
        <f aca="false">C104*100/F104</f>
        <v>4.36984144421253</v>
      </c>
      <c r="E104" s="11" t="n">
        <f aca="false">100*('UK Construction'!D104/'UK Construction'!D103-1)</f>
        <v>1.31449093092109</v>
      </c>
      <c r="F104" s="11" t="n">
        <f aca="false">'UK Construction'!H103</f>
        <v>97.2961995731779</v>
      </c>
      <c r="G104" s="11" t="n">
        <f aca="false">((1+D104/400)/(1+E104/100)-1)*F104</f>
        <v>-0.213224489791386</v>
      </c>
      <c r="H104" s="11" t="n">
        <f aca="false">4*(L104-F104-G104+B104/4)</f>
        <v>2.30605710548112</v>
      </c>
      <c r="I104" s="11" t="n">
        <f aca="false">F104*(1+D104/400)/(1+E104/100)-B104/4+H104/4</f>
        <v>96.9797990987047</v>
      </c>
      <c r="J104" s="10" t="n">
        <f aca="false">(1+D104/400)*(F104/100*'UK Construction'!D103)-B104/100*'UK Construction'!D104/4+H104/100*'UK Construction'!D104/4</f>
        <v>2757800</v>
      </c>
      <c r="K104" s="11" t="n">
        <f aca="false">J104/'UK Construction'!D104*100</f>
        <v>96.9797990987047</v>
      </c>
      <c r="L104" s="11" t="n">
        <f aca="false">'UK Construction'!H104</f>
        <v>96.9797990987047</v>
      </c>
      <c r="M104" s="11" t="n">
        <f aca="false">I104-L104</f>
        <v>0</v>
      </c>
    </row>
    <row r="105" customFormat="false" ht="15" hidden="false" customHeight="false" outlineLevel="0" collapsed="false">
      <c r="A105" s="0" t="str">
        <f aca="false">'UK Construction'!A105</f>
        <v>2024-Q4</v>
      </c>
      <c r="B105" s="11" t="n">
        <f aca="false">'UK Construction'!E105-'UK Construction'!F105</f>
        <v>1.95241547130085</v>
      </c>
      <c r="C105" s="11" t="n">
        <f aca="false">'UK Construction'!J105</f>
        <v>4.45379850440538</v>
      </c>
      <c r="D105" s="11" t="n">
        <f aca="false">C105*100/F105</f>
        <v>4.59250126912757</v>
      </c>
      <c r="E105" s="11" t="n">
        <f aca="false">100*('UK Construction'!D105/'UK Construction'!D104-1)</f>
        <v>1.67947575065452</v>
      </c>
      <c r="F105" s="11" t="n">
        <f aca="false">'UK Construction'!H104</f>
        <v>96.9797990987047</v>
      </c>
      <c r="G105" s="11" t="n">
        <f aca="false">((1+D105/400)/(1+E105/100)-1)*F105</f>
        <v>-0.506791148351834</v>
      </c>
      <c r="H105" s="11" t="n">
        <f aca="false">4*(L105-F105-G105+B105/4)</f>
        <v>5.54051885493887</v>
      </c>
      <c r="I105" s="11" t="n">
        <f aca="false">F105*(1+D105/400)/(1+E105/100)-B105/4+H105/4</f>
        <v>97.3700337962623</v>
      </c>
      <c r="J105" s="10" t="n">
        <f aca="false">(1+D105/400)*(F105/100*'UK Construction'!D104)-B105/100*'UK Construction'!D105/4+H105/100*'UK Construction'!D105/4</f>
        <v>2815400</v>
      </c>
      <c r="K105" s="11" t="n">
        <f aca="false">J105/'UK Construction'!D105*100</f>
        <v>97.3700337962624</v>
      </c>
      <c r="L105" s="11" t="n">
        <f aca="false">'UK Construction'!H105</f>
        <v>97.3700337962624</v>
      </c>
      <c r="M105" s="11" t="n">
        <f aca="false">I105-L105</f>
        <v>0</v>
      </c>
    </row>
    <row r="106" customFormat="false" ht="15" hidden="false" customHeight="false" outlineLevel="0" collapsed="false">
      <c r="A106" s="0" t="str">
        <f aca="false">'UK Construction'!A106</f>
        <v>2025-Q1</v>
      </c>
      <c r="B106" s="11" t="n">
        <f aca="false">'UK Construction'!E106-'UK Construction'!F106</f>
        <v>1.68913357131244</v>
      </c>
      <c r="C106" s="11" t="n">
        <f aca="false">'UK Construction'!J106</f>
        <v>3.88345753886294</v>
      </c>
      <c r="D106" s="11" t="n">
        <f aca="false">C106*100/F106</f>
        <v>3.9883497904383</v>
      </c>
      <c r="E106" s="11" t="n">
        <f aca="false">100*('UK Construction'!D106/'UK Construction'!D105-1)</f>
        <v>1.46732912689991</v>
      </c>
      <c r="F106" s="11" t="n">
        <f aca="false">'UK Construction'!H105</f>
        <v>97.3700337962624</v>
      </c>
      <c r="G106" s="11" t="n">
        <f aca="false">((1+D106/400)/(1+E106/100)-1)*F106</f>
        <v>-0.451253113676088</v>
      </c>
      <c r="H106" s="11" t="n">
        <f aca="false">4*(L106-F106-G106+B106/4)</f>
        <v>-3.58335455103519</v>
      </c>
      <c r="I106" s="11" t="n">
        <f aca="false">F106*(1+D106/400)/(1+E106/100)-B106/4+H106/4</f>
        <v>95.6006586519994</v>
      </c>
      <c r="J106" s="10" t="n">
        <f aca="false">(1+D106/400)*(F106/100*'UK Construction'!D105)-B106/100*'UK Construction'!D106/4+H106/100*'UK Construction'!D106/4</f>
        <v>2804800</v>
      </c>
      <c r="K106" s="11" t="n">
        <f aca="false">J106/'UK Construction'!D106*100</f>
        <v>95.6006586519993</v>
      </c>
      <c r="L106" s="11" t="n">
        <f aca="false">'UK Construction'!H106</f>
        <v>95.6006586519994</v>
      </c>
      <c r="M106" s="11" t="n">
        <f aca="false">I106-L106</f>
        <v>0</v>
      </c>
    </row>
    <row r="107" customFormat="false" ht="15" hidden="false" customHeight="false" outlineLevel="0" collapsed="false">
      <c r="A107" s="0" t="str">
        <f aca="false">'UK Construction'!A107</f>
        <v>2025-Q2</v>
      </c>
      <c r="B107" s="11" t="n">
        <f aca="false">'UK Construction'!E107-'UK Construction'!F107</f>
        <v>1.36889432277055</v>
      </c>
      <c r="C107" s="11" t="n">
        <f aca="false">'UK Construction'!J107</f>
        <v>5.93332154004045</v>
      </c>
      <c r="D107" s="11" t="n">
        <f aca="false">C107*100/F107</f>
        <v>6.2063605248146</v>
      </c>
      <c r="E107" s="11" t="n">
        <f aca="false">100*('UK Construction'!D107/'UK Construction'!D106-1)</f>
        <v>1.36549971010995</v>
      </c>
      <c r="F107" s="11" t="n">
        <f aca="false">'UK Construction'!H106</f>
        <v>95.6006586519994</v>
      </c>
      <c r="G107" s="11" t="n">
        <f aca="false">((1+D107/400)/(1+E107/100)-1)*F107</f>
        <v>0.175507119051974</v>
      </c>
      <c r="H107" s="11" t="n">
        <f aca="false">4*(L107-F107-G107+B107/4)</f>
        <v>3.96222779733104</v>
      </c>
      <c r="I107" s="11" t="n">
        <f aca="false">F107*(1+D107/400)/(1+E107/100)-B107/4+H107/4</f>
        <v>96.4244991396915</v>
      </c>
      <c r="J107" s="10" t="n">
        <f aca="false">(1+D107/400)*(F107/100*'UK Construction'!D106)-B107/100*'UK Construction'!D107/4+H107/100*'UK Construction'!D107/4</f>
        <v>2867600</v>
      </c>
      <c r="K107" s="11" t="n">
        <f aca="false">J107/'UK Construction'!D107*100</f>
        <v>96.4244991396915</v>
      </c>
      <c r="L107" s="11" t="n">
        <f aca="false">'UK Construction'!H107</f>
        <v>96.4244991396915</v>
      </c>
      <c r="M107" s="11" t="n">
        <f aca="false">I107-L107</f>
        <v>0</v>
      </c>
    </row>
    <row r="108" customFormat="false" ht="15" hidden="false" customHeight="false" outlineLevel="0" collapsed="false">
      <c r="A108" s="0" t="str">
        <f aca="false">'UK Construction'!A108</f>
        <v>2025-Q3</v>
      </c>
      <c r="B108" s="11" t="n">
        <f aca="false">'UK Construction'!E108-'UK Construction'!F108</f>
        <v>1.45955318674431</v>
      </c>
      <c r="C108" s="11" t="n">
        <f aca="false">'UK Construction'!J108</f>
        <v>4.48362488327746</v>
      </c>
      <c r="D108" s="11" t="n">
        <f aca="false">C108*100/F108</f>
        <v>4.64988143395174</v>
      </c>
      <c r="E108" s="11" t="n">
        <f aca="false">100*('UK Construction'!D108/'UK Construction'!D107-1)</f>
        <v>1.1700330841347</v>
      </c>
      <c r="F108" s="11" t="n">
        <f aca="false">'UK Construction'!H107</f>
        <v>96.4244991396915</v>
      </c>
      <c r="G108" s="11" t="n">
        <f aca="false">((1+D108/400)/(1+E108/100)-1)*F108</f>
        <v>-0.00720798452259214</v>
      </c>
      <c r="H108" s="11" t="n">
        <f aca="false">4*(L108-F108-G108+B108/4)</f>
        <v>3.11673135067991</v>
      </c>
      <c r="I108" s="11" t="n">
        <f aca="false">F108*(1+D108/400)/(1+E108/100)-B108/4+H108/4</f>
        <v>96.8315856961528</v>
      </c>
      <c r="J108" s="10" t="n">
        <f aca="false">(1+D108/400)*(F108/100*'UK Construction'!D107)-B108/100*'UK Construction'!D108/4+H108/100*'UK Construction'!D108/4</f>
        <v>2913400</v>
      </c>
      <c r="K108" s="11" t="n">
        <f aca="false">J108/'UK Construction'!D108*100</f>
        <v>96.8315856961527</v>
      </c>
      <c r="L108" s="11" t="n">
        <f aca="false">'UK Construction'!H108</f>
        <v>96.8315856961528</v>
      </c>
      <c r="M108" s="11" t="n">
        <f aca="false">I108-L108</f>
        <v>0</v>
      </c>
    </row>
    <row r="109" customFormat="false" ht="15" hidden="false" customHeight="false" outlineLevel="0" collapsed="false">
      <c r="A109" s="0" t="str">
        <f aca="false">'UK Construction'!A109</f>
        <v>2025-Q4</v>
      </c>
      <c r="B109" s="11" t="n">
        <f aca="false">'UK Construction'!E109-'UK Construction'!F109</f>
        <v>1.80409564779443</v>
      </c>
      <c r="C109" s="11" t="n">
        <f aca="false">'UK Construction'!J109</f>
        <v>3.81423518037018</v>
      </c>
      <c r="D109" s="11" t="n">
        <f aca="false">C109*100/F109</f>
        <v>3.93904029656072</v>
      </c>
      <c r="E109" s="11" t="n">
        <f aca="false">100*('UK Construction'!D109/'UK Construction'!D108-1)</f>
        <v>1.03472263537194</v>
      </c>
      <c r="F109" s="11" t="n">
        <f aca="false">'UK Construction'!H108</f>
        <v>96.8315856961528</v>
      </c>
      <c r="G109" s="11" t="n">
        <f aca="false">((1+D109/400)/(1+E109/100)-1)*F109</f>
        <v>-0.0478840729535327</v>
      </c>
      <c r="H109" s="11" t="n">
        <f aca="false">4*(L109-F109-G109+B109/4)</f>
        <v>-0.365740407209416</v>
      </c>
      <c r="I109" s="11" t="n">
        <f aca="false">F109*(1+D109/400)/(1+E109/100)-B109/4+H109/4</f>
        <v>96.2412426094483</v>
      </c>
      <c r="J109" s="10" t="n">
        <f aca="false">(1+D109/400)*(F109/100*'UK Construction'!D108)-B109/100*'UK Construction'!D109/4+H109/100*'UK Construction'!D109/4</f>
        <v>2925600</v>
      </c>
      <c r="K109" s="11" t="n">
        <f aca="false">J109/'UK Construction'!D109*100</f>
        <v>96.2412426094483</v>
      </c>
      <c r="L109" s="11" t="n">
        <f aca="false">'UK Construction'!H109</f>
        <v>96.2412426094483</v>
      </c>
      <c r="M109" s="11" t="n">
        <f aca="false">I109-L109</f>
        <v>0</v>
      </c>
    </row>
    <row r="111" customFormat="false" ht="69.75" hidden="false" customHeight="true" outlineLevel="0" collapsed="false">
      <c r="A111" s="8" t="s">
        <v>217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</sheetData>
  <mergeCells count="3">
    <mergeCell ref="A1:M1"/>
    <mergeCell ref="A2:M2"/>
    <mergeCell ref="A111:M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5"/>
  </cols>
  <sheetData>
    <row r="1" customFormat="false" ht="19.7" hidden="false" customHeight="false" outlineLevel="0" collapsed="false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09.5" hidden="false" customHeight="true" outlineLevel="0" collapsed="false">
      <c r="A2" s="8" t="s">
        <v>299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customFormat="false" ht="28.35" hidden="false" customHeight="false" outlineLevel="0" collapsed="false">
      <c r="A4" s="5" t="s">
        <v>220</v>
      </c>
      <c r="B4" s="5" t="s">
        <v>177</v>
      </c>
      <c r="C4" s="5" t="s">
        <v>221</v>
      </c>
      <c r="D4" s="5" t="s">
        <v>183</v>
      </c>
      <c r="E4" s="5" t="s">
        <v>222</v>
      </c>
      <c r="F4" s="5" t="s">
        <v>223</v>
      </c>
      <c r="G4" s="5" t="s">
        <v>224</v>
      </c>
      <c r="H4" s="5" t="s">
        <v>225</v>
      </c>
      <c r="I4" s="5" t="s">
        <v>226</v>
      </c>
      <c r="J4" s="5" t="s">
        <v>193</v>
      </c>
      <c r="K4" s="5" t="s">
        <v>195</v>
      </c>
      <c r="L4" s="5" t="s">
        <v>182</v>
      </c>
      <c r="M4" s="5" t="s">
        <v>227</v>
      </c>
    </row>
    <row r="5" customFormat="false" ht="64.9" hidden="false" customHeight="false" outlineLevel="0" collapsed="false">
      <c r="B5" s="9" t="s">
        <v>228</v>
      </c>
      <c r="C5" s="9" t="s">
        <v>228</v>
      </c>
      <c r="D5" s="9" t="s">
        <v>229</v>
      </c>
      <c r="E5" s="9" t="s">
        <v>230</v>
      </c>
      <c r="F5" s="9" t="s">
        <v>231</v>
      </c>
      <c r="G5" s="9" t="s">
        <v>232</v>
      </c>
      <c r="H5" s="9" t="s">
        <v>233</v>
      </c>
      <c r="I5" s="9" t="s">
        <v>234</v>
      </c>
      <c r="J5" s="9" t="s">
        <v>235</v>
      </c>
      <c r="K5" s="9" t="s">
        <v>236</v>
      </c>
      <c r="L5" s="9" t="s">
        <v>237</v>
      </c>
      <c r="M5" s="9" t="s">
        <v>238</v>
      </c>
    </row>
    <row r="6" customFormat="false" ht="15" hidden="false" customHeight="false" outlineLevel="0" collapsed="false">
      <c r="A6" s="0" t="s">
        <v>239</v>
      </c>
      <c r="B6" s="12" t="n">
        <v>39.326</v>
      </c>
      <c r="C6" s="12" t="n">
        <v>37.8503</v>
      </c>
      <c r="D6" s="12" t="n">
        <v>4.20922</v>
      </c>
      <c r="E6" s="12" t="n">
        <v>3.25349</v>
      </c>
      <c r="F6" s="12" t="n">
        <v>5.12381</v>
      </c>
      <c r="G6" s="12" t="n">
        <v>1347.02</v>
      </c>
      <c r="H6" s="12" t="n">
        <v>494.625</v>
      </c>
      <c r="I6" s="11" t="n">
        <f aca="false">(G6-1346.75)+(H6-494.021)</f>
        <v>0.873999999999967</v>
      </c>
      <c r="J6" s="11" t="n">
        <f aca="false">B6-C6</f>
        <v>1.4757</v>
      </c>
      <c r="K6" s="11" t="n">
        <f aca="false">D6*100/L6</f>
        <v>4.37361350372418</v>
      </c>
      <c r="L6" s="11" t="n">
        <f aca="false">96.241243</f>
        <v>96.241243</v>
      </c>
      <c r="M6" s="11" t="n">
        <f aca="false">L6*(1+K6/400)/(1+I6/100)-J6/4</f>
        <v>96.0816450180423</v>
      </c>
    </row>
    <row r="7" customFormat="false" ht="15" hidden="false" customHeight="false" outlineLevel="0" collapsed="false">
      <c r="A7" s="0" t="s">
        <v>240</v>
      </c>
      <c r="B7" s="12" t="n">
        <v>39.2984</v>
      </c>
      <c r="C7" s="12" t="n">
        <v>38.0569</v>
      </c>
      <c r="D7" s="12" t="n">
        <v>3.94021</v>
      </c>
      <c r="E7" s="12" t="n">
        <v>2.7327</v>
      </c>
      <c r="F7" s="12" t="n">
        <v>5.10054</v>
      </c>
      <c r="G7" s="12" t="n">
        <v>1347.38</v>
      </c>
      <c r="H7" s="12" t="n">
        <v>495.07</v>
      </c>
      <c r="I7" s="11" t="n">
        <f aca="false">(G7-G6)+(H7-H6)</f>
        <v>0.805000000000121</v>
      </c>
      <c r="J7" s="11" t="n">
        <f aca="false">B7-C7</f>
        <v>1.2415</v>
      </c>
      <c r="K7" s="11" t="n">
        <f aca="false">D7*100/L7</f>
        <v>4.10089773052918</v>
      </c>
      <c r="L7" s="11" t="n">
        <f aca="false">M6</f>
        <v>96.0816450180423</v>
      </c>
      <c r="M7" s="11" t="n">
        <f aca="false">L7*(1+K7/400)/(1+I7/100)-J7/4</f>
        <v>95.9811755362256</v>
      </c>
    </row>
    <row r="8" customFormat="false" ht="15" hidden="false" customHeight="false" outlineLevel="0" collapsed="false">
      <c r="A8" s="0" t="s">
        <v>241</v>
      </c>
      <c r="B8" s="12" t="n">
        <v>39.2271</v>
      </c>
      <c r="C8" s="12" t="n">
        <v>38.2523</v>
      </c>
      <c r="D8" s="12" t="n">
        <v>4.00228</v>
      </c>
      <c r="E8" s="12" t="n">
        <v>2.37488</v>
      </c>
      <c r="F8" s="12" t="n">
        <v>5.38296</v>
      </c>
      <c r="G8" s="12" t="n">
        <v>1347.77</v>
      </c>
      <c r="H8" s="12" t="n">
        <v>495.652</v>
      </c>
      <c r="I8" s="11" t="n">
        <f aca="false">(G8-G7)+(H8-H7)</f>
        <v>0.971999999999866</v>
      </c>
      <c r="J8" s="11" t="n">
        <f aca="false">B8-C8</f>
        <v>0.974800000000002</v>
      </c>
      <c r="K8" s="11" t="n">
        <f aca="false">D8*100/L8</f>
        <v>4.1698593267275</v>
      </c>
      <c r="L8" s="11" t="n">
        <f aca="false">M7</f>
        <v>95.9811755362256</v>
      </c>
      <c r="M8" s="11" t="n">
        <f aca="false">L8*(1+K8/400)/(1+I8/100)-J8/4</f>
        <v>95.8044574458521</v>
      </c>
    </row>
    <row r="9" customFormat="false" ht="15" hidden="false" customHeight="false" outlineLevel="0" collapsed="false">
      <c r="A9" s="0" t="s">
        <v>242</v>
      </c>
      <c r="B9" s="12" t="n">
        <v>39.1666</v>
      </c>
      <c r="C9" s="12" t="n">
        <v>38.406</v>
      </c>
      <c r="D9" s="12" t="n">
        <v>3.82057</v>
      </c>
      <c r="E9" s="12" t="n">
        <v>2.21108</v>
      </c>
      <c r="F9" s="12" t="n">
        <v>5.50767</v>
      </c>
      <c r="G9" s="12" t="n">
        <v>1348.18</v>
      </c>
      <c r="H9" s="12" t="n">
        <v>496.156</v>
      </c>
      <c r="I9" s="11" t="n">
        <f aca="false">(G9-G8)+(H9-H8)</f>
        <v>0.914000000000101</v>
      </c>
      <c r="J9" s="11" t="n">
        <f aca="false">B9-C9</f>
        <v>0.760600000000004</v>
      </c>
      <c r="K9" s="11" t="n">
        <f aca="false">D9*100/L9</f>
        <v>3.98788334265069</v>
      </c>
      <c r="L9" s="11" t="n">
        <f aca="false">M8</f>
        <v>95.8044574458521</v>
      </c>
      <c r="M9" s="11" t="n">
        <f aca="false">L9*(1+K9/400)/(1+I9/100)-J9/4</f>
        <v>95.693077248798</v>
      </c>
    </row>
    <row r="10" customFormat="false" ht="15" hidden="false" customHeight="false" outlineLevel="0" collapsed="false">
      <c r="A10" s="0" t="s">
        <v>243</v>
      </c>
      <c r="B10" s="12" t="n">
        <v>39.1029</v>
      </c>
      <c r="C10" s="12" t="n">
        <v>38.5185</v>
      </c>
      <c r="D10" s="12" t="n">
        <v>3.78633</v>
      </c>
      <c r="E10" s="12" t="n">
        <v>1.81765</v>
      </c>
      <c r="F10" s="12" t="n">
        <v>5.64089</v>
      </c>
      <c r="G10" s="12" t="n">
        <v>1348.59</v>
      </c>
      <c r="H10" s="12" t="n">
        <v>496.77</v>
      </c>
      <c r="I10" s="11" t="n">
        <f aca="false">(G10-G9)+(H10-H9)</f>
        <v>1.02399999999983</v>
      </c>
      <c r="J10" s="11" t="n">
        <f aca="false">B10-C10</f>
        <v>0.584399999999995</v>
      </c>
      <c r="K10" s="11" t="n">
        <f aca="false">D10*100/L10</f>
        <v>3.95674390338154</v>
      </c>
      <c r="L10" s="11" t="n">
        <f aca="false">M9</f>
        <v>95.693077248798</v>
      </c>
      <c r="M10" s="11" t="n">
        <f aca="false">L10*(1+K10/400)/(1+I10/100)-J10/4</f>
        <v>95.5140003215059</v>
      </c>
    </row>
    <row r="11" customFormat="false" ht="15" hidden="false" customHeight="false" outlineLevel="0" collapsed="false">
      <c r="A11" s="0" t="s">
        <v>244</v>
      </c>
      <c r="B11" s="12" t="n">
        <v>39.055</v>
      </c>
      <c r="C11" s="12" t="n">
        <v>38.6035</v>
      </c>
      <c r="D11" s="12" t="n">
        <v>3.65596</v>
      </c>
      <c r="E11" s="12" t="n">
        <v>1.58561</v>
      </c>
      <c r="F11" s="12" t="n">
        <v>5.78978</v>
      </c>
      <c r="G11" s="12" t="n">
        <v>1349.01</v>
      </c>
      <c r="H11" s="12" t="n">
        <v>497.365</v>
      </c>
      <c r="I11" s="11" t="n">
        <f aca="false">(G11-G10)+(H11-H10)</f>
        <v>1.0150000000001</v>
      </c>
      <c r="J11" s="11" t="n">
        <f aca="false">B11-C11</f>
        <v>0.451500000000003</v>
      </c>
      <c r="K11" s="11" t="n">
        <f aca="false">D11*100/L11</f>
        <v>3.82766922932117</v>
      </c>
      <c r="L11" s="11" t="n">
        <f aca="false">M10</f>
        <v>95.5140003215059</v>
      </c>
      <c r="M11" s="11" t="n">
        <f aca="false">L11*(1+K11/400)/(1+I11/100)-J11/4</f>
        <v>95.3462056528791</v>
      </c>
    </row>
    <row r="12" customFormat="false" ht="15" hidden="false" customHeight="false" outlineLevel="0" collapsed="false">
      <c r="A12" s="0" t="s">
        <v>245</v>
      </c>
      <c r="B12" s="12" t="n">
        <v>39.012</v>
      </c>
      <c r="C12" s="12" t="n">
        <v>38.6774</v>
      </c>
      <c r="D12" s="12" t="n">
        <v>3.62247</v>
      </c>
      <c r="E12" s="12" t="n">
        <v>1.47366</v>
      </c>
      <c r="F12" s="12" t="n">
        <v>5.84045</v>
      </c>
      <c r="G12" s="12" t="n">
        <v>1349.42</v>
      </c>
      <c r="H12" s="12" t="n">
        <v>498.008</v>
      </c>
      <c r="I12" s="11" t="n">
        <f aca="false">(G12-G11)+(H12-H11)</f>
        <v>1.05300000000005</v>
      </c>
      <c r="J12" s="11" t="n">
        <f aca="false">B12-C12</f>
        <v>0.334600000000002</v>
      </c>
      <c r="K12" s="11" t="n">
        <f aca="false">D12*100/L12</f>
        <v>3.79928071095781</v>
      </c>
      <c r="L12" s="11" t="n">
        <f aca="false">M11</f>
        <v>95.3462056528791</v>
      </c>
      <c r="M12" s="11" t="n">
        <f aca="false">L12*(1+K12/400)/(1+I12/100)-J12/4</f>
        <v>95.1652027335943</v>
      </c>
    </row>
    <row r="13" customFormat="false" ht="15" hidden="false" customHeight="false" outlineLevel="0" collapsed="false">
      <c r="A13" s="0" t="s">
        <v>246</v>
      </c>
      <c r="B13" s="12" t="n">
        <v>38.9819</v>
      </c>
      <c r="C13" s="12" t="n">
        <v>38.7489</v>
      </c>
      <c r="D13" s="12" t="n">
        <v>3.54003</v>
      </c>
      <c r="E13" s="12" t="n">
        <v>1.31501</v>
      </c>
      <c r="F13" s="12" t="n">
        <v>6.05293</v>
      </c>
      <c r="G13" s="12" t="n">
        <v>1349.82</v>
      </c>
      <c r="H13" s="12" t="n">
        <v>498.642</v>
      </c>
      <c r="I13" s="11" t="n">
        <f aca="false">(G13-G12)+(H13-H12)</f>
        <v>1.03399999999988</v>
      </c>
      <c r="J13" s="11" t="n">
        <f aca="false">B13-C13</f>
        <v>0.233000000000004</v>
      </c>
      <c r="K13" s="11" t="n">
        <f aca="false">D13*100/L13</f>
        <v>3.71987858830078</v>
      </c>
      <c r="L13" s="11" t="n">
        <f aca="false">M12</f>
        <v>95.1652027335943</v>
      </c>
      <c r="M13" s="11" t="n">
        <f aca="false">L13*(1+K13/400)/(1+I13/100)-J13/4</f>
        <v>95.0089652281355</v>
      </c>
    </row>
    <row r="14" customFormat="false" ht="15" hidden="false" customHeight="false" outlineLevel="0" collapsed="false">
      <c r="A14" s="0" t="s">
        <v>247</v>
      </c>
      <c r="B14" s="12" t="n">
        <v>38.9577</v>
      </c>
      <c r="C14" s="12" t="n">
        <v>38.8177</v>
      </c>
      <c r="D14" s="12" t="n">
        <v>3.5033</v>
      </c>
      <c r="E14" s="12" t="n">
        <v>0.89768</v>
      </c>
      <c r="F14" s="12" t="n">
        <v>6.07453</v>
      </c>
      <c r="G14" s="12" t="n">
        <v>1350.21</v>
      </c>
      <c r="H14" s="12" t="n">
        <v>499.302</v>
      </c>
      <c r="I14" s="11" t="n">
        <f aca="false">(G14-G13)+(H14-H13)</f>
        <v>1.05000000000013</v>
      </c>
      <c r="J14" s="11" t="n">
        <f aca="false">B14-C14</f>
        <v>0.140000000000001</v>
      </c>
      <c r="K14" s="11" t="n">
        <f aca="false">D14*100/L14</f>
        <v>3.6873362335732</v>
      </c>
      <c r="L14" s="11" t="n">
        <f aca="false">M13</f>
        <v>95.0089652281355</v>
      </c>
      <c r="M14" s="11" t="n">
        <f aca="false">L14*(1+K14/400)/(1+I14/100)-J14/4</f>
        <v>94.8534613836075</v>
      </c>
    </row>
    <row r="15" customFormat="false" ht="15" hidden="false" customHeight="false" outlineLevel="0" collapsed="false">
      <c r="A15" s="0" t="s">
        <v>248</v>
      </c>
      <c r="B15" s="12" t="n">
        <v>38.9419</v>
      </c>
      <c r="C15" s="12" t="n">
        <v>38.8852</v>
      </c>
      <c r="D15" s="12" t="n">
        <v>3.4484</v>
      </c>
      <c r="E15" s="12" t="n">
        <v>0.959182</v>
      </c>
      <c r="F15" s="12" t="n">
        <v>6.20895</v>
      </c>
      <c r="G15" s="12" t="n">
        <v>1350.59</v>
      </c>
      <c r="H15" s="12" t="n">
        <v>499.96</v>
      </c>
      <c r="I15" s="11" t="n">
        <f aca="false">(G15-G14)+(H15-H14)</f>
        <v>1.03799999999984</v>
      </c>
      <c r="J15" s="11" t="n">
        <f aca="false">B15-C15</f>
        <v>0.0566999999999993</v>
      </c>
      <c r="K15" s="11" t="n">
        <f aca="false">D15*100/L15</f>
        <v>3.63550254223611</v>
      </c>
      <c r="L15" s="11" t="n">
        <f aca="false">M14</f>
        <v>94.8534613836075</v>
      </c>
      <c r="M15" s="11" t="n">
        <f aca="false">L15*(1+K15/400)/(1+I15/100)-J15/4</f>
        <v>94.7180657248834</v>
      </c>
    </row>
    <row r="16" customFormat="false" ht="15" hidden="false" customHeight="false" outlineLevel="0" collapsed="false">
      <c r="A16" s="0" t="s">
        <v>249</v>
      </c>
      <c r="B16" s="12" t="n">
        <v>38.9295</v>
      </c>
      <c r="C16" s="12" t="n">
        <v>38.9505</v>
      </c>
      <c r="D16" s="12" t="n">
        <v>3.41733</v>
      </c>
      <c r="E16" s="12" t="n">
        <v>0.660193</v>
      </c>
      <c r="F16" s="12" t="n">
        <v>6.1112</v>
      </c>
      <c r="G16" s="12" t="n">
        <v>1350.96</v>
      </c>
      <c r="H16" s="12" t="n">
        <v>500.632</v>
      </c>
      <c r="I16" s="11" t="n">
        <f aca="false">(G16-G15)+(H16-H15)</f>
        <v>1.04200000000014</v>
      </c>
      <c r="J16" s="11" t="n">
        <f aca="false">B16-C16</f>
        <v>-0.0210000000000008</v>
      </c>
      <c r="K16" s="11" t="n">
        <f aca="false">D16*100/L16</f>
        <v>3.60789673421533</v>
      </c>
      <c r="L16" s="11" t="n">
        <f aca="false">M15</f>
        <v>94.7180657248834</v>
      </c>
      <c r="M16" s="11" t="n">
        <f aca="false">L16*(1+K16/400)/(1+I16/100)-J16/4</f>
        <v>94.5920537300165</v>
      </c>
    </row>
    <row r="17" customFormat="false" ht="15" hidden="false" customHeight="false" outlineLevel="0" collapsed="false">
      <c r="A17" s="0" t="s">
        <v>250</v>
      </c>
      <c r="B17" s="12" t="n">
        <v>38.9217</v>
      </c>
      <c r="C17" s="12" t="n">
        <v>39.0127</v>
      </c>
      <c r="D17" s="12" t="n">
        <v>3.3808</v>
      </c>
      <c r="E17" s="12" t="n">
        <v>0.574557</v>
      </c>
      <c r="F17" s="12" t="n">
        <v>6.21303</v>
      </c>
      <c r="G17" s="12" t="n">
        <v>1351.34</v>
      </c>
      <c r="H17" s="12" t="n">
        <v>501.305</v>
      </c>
      <c r="I17" s="11" t="n">
        <f aca="false">(G17-G16)+(H17-H16)</f>
        <v>1.05299999999988</v>
      </c>
      <c r="J17" s="11" t="n">
        <f aca="false">B17-C17</f>
        <v>-0.0910000000000011</v>
      </c>
      <c r="K17" s="11" t="n">
        <f aca="false">D17*100/L17</f>
        <v>3.57408457337171</v>
      </c>
      <c r="L17" s="11" t="n">
        <f aca="false">M16</f>
        <v>94.5920537300165</v>
      </c>
      <c r="M17" s="11" t="n">
        <f aca="false">L17*(1+K17/400)/(1+I17/100)-J17/4</f>
        <v>94.465521347725</v>
      </c>
    </row>
    <row r="18" customFormat="false" ht="15" hidden="false" customHeight="false" outlineLevel="0" collapsed="false">
      <c r="A18" s="0" t="s">
        <v>251</v>
      </c>
      <c r="B18" s="12" t="n">
        <v>38.9167</v>
      </c>
      <c r="C18" s="12" t="n">
        <v>39.0711</v>
      </c>
      <c r="D18" s="12" t="n">
        <v>3.35806</v>
      </c>
      <c r="E18" s="12" t="n">
        <v>0.248045</v>
      </c>
      <c r="F18" s="12" t="n">
        <v>6.25392</v>
      </c>
      <c r="G18" s="12" t="n">
        <v>1351.71</v>
      </c>
      <c r="H18" s="12" t="n">
        <v>501.986</v>
      </c>
      <c r="I18" s="11" t="n">
        <f aca="false">(G18-G17)+(H18-H17)</f>
        <v>1.0510000000001</v>
      </c>
      <c r="J18" s="11" t="n">
        <f aca="false">B18-C18</f>
        <v>-0.154400000000003</v>
      </c>
      <c r="K18" s="11" t="n">
        <f aca="false">D18*100/L18</f>
        <v>3.55479962645744</v>
      </c>
      <c r="L18" s="11" t="n">
        <f aca="false">M17</f>
        <v>94.465521347725</v>
      </c>
      <c r="M18" s="11" t="n">
        <f aca="false">L18*(1+K18/400)/(1+I18/100)-J18/4</f>
        <v>94.352398327305</v>
      </c>
    </row>
    <row r="19" customFormat="false" ht="15" hidden="false" customHeight="false" outlineLevel="0" collapsed="false">
      <c r="A19" s="0" t="s">
        <v>252</v>
      </c>
      <c r="B19" s="12" t="n">
        <v>38.915</v>
      </c>
      <c r="C19" s="12" t="n">
        <v>39.1257</v>
      </c>
      <c r="D19" s="12" t="n">
        <v>3.33557</v>
      </c>
      <c r="E19" s="12" t="n">
        <v>0.495956</v>
      </c>
      <c r="F19" s="12" t="n">
        <v>6.54295</v>
      </c>
      <c r="G19" s="12" t="n">
        <v>1352.08</v>
      </c>
      <c r="H19" s="12" t="n">
        <v>502.671</v>
      </c>
      <c r="I19" s="11" t="n">
        <f aca="false">(G19-G18)+(H19-H18)</f>
        <v>1.05499999999989</v>
      </c>
      <c r="J19" s="11" t="n">
        <f aca="false">B19-C19</f>
        <v>-0.210700000000003</v>
      </c>
      <c r="K19" s="11" t="n">
        <f aca="false">D19*100/L19</f>
        <v>3.53522545174637</v>
      </c>
      <c r="L19" s="11" t="n">
        <f aca="false">M18</f>
        <v>94.352398327305</v>
      </c>
      <c r="M19" s="11" t="n">
        <f aca="false">L19*(1+K19/400)/(1+I19/100)-J19/4</f>
        <v>94.2452343264114</v>
      </c>
    </row>
    <row r="20" customFormat="false" ht="15" hidden="false" customHeight="false" outlineLevel="0" collapsed="false">
      <c r="A20" s="0" t="s">
        <v>253</v>
      </c>
      <c r="B20" s="12" t="n">
        <v>38.9158</v>
      </c>
      <c r="C20" s="12" t="n">
        <v>39.1762</v>
      </c>
      <c r="D20" s="12" t="n">
        <v>3.32186</v>
      </c>
      <c r="E20" s="12" t="n">
        <v>0.276671</v>
      </c>
      <c r="F20" s="12" t="n">
        <v>6.42138</v>
      </c>
      <c r="G20" s="12" t="n">
        <v>1352.45</v>
      </c>
      <c r="H20" s="12" t="n">
        <v>503.36</v>
      </c>
      <c r="I20" s="11" t="n">
        <f aca="false">(G20-G19)+(H20-H19)</f>
        <v>1.05900000000014</v>
      </c>
      <c r="J20" s="11" t="n">
        <f aca="false">B20-C20</f>
        <v>-0.260400000000004</v>
      </c>
      <c r="K20" s="11" t="n">
        <f aca="false">D20*100/L20</f>
        <v>3.52469811735518</v>
      </c>
      <c r="L20" s="11" t="n">
        <f aca="false">M19</f>
        <v>94.2452343264114</v>
      </c>
      <c r="M20" s="11" t="n">
        <f aca="false">L20*(1+K20/400)/(1+I20/100)-J20/4</f>
        <v>94.1444984963351</v>
      </c>
    </row>
    <row r="21" customFormat="false" ht="15" hidden="false" customHeight="false" outlineLevel="0" collapsed="false">
      <c r="A21" s="0" t="s">
        <v>254</v>
      </c>
      <c r="B21" s="12" t="n">
        <v>38.9192</v>
      </c>
      <c r="C21" s="12" t="n">
        <v>39.2228</v>
      </c>
      <c r="D21" s="12" t="n">
        <v>3.31039</v>
      </c>
      <c r="E21" s="12" t="n">
        <v>0.450748</v>
      </c>
      <c r="F21" s="12" t="n">
        <v>6.5639</v>
      </c>
      <c r="G21" s="12" t="n">
        <v>1352.82</v>
      </c>
      <c r="H21" s="12" t="n">
        <v>504.053</v>
      </c>
      <c r="I21" s="11" t="n">
        <f aca="false">(G21-G20)+(H21-H20)</f>
        <v>1.06299999999987</v>
      </c>
      <c r="J21" s="11" t="n">
        <f aca="false">B21-C21</f>
        <v>-0.303600000000003</v>
      </c>
      <c r="K21" s="11" t="n">
        <f aca="false">D21*100/L21</f>
        <v>3.51628619077393</v>
      </c>
      <c r="L21" s="11" t="n">
        <f aca="false">M20</f>
        <v>94.1444984963351</v>
      </c>
      <c r="M21" s="11" t="n">
        <f aca="false">L21*(1+K21/400)/(1+I21/100)-J21/4</f>
        <v>94.0490612918034</v>
      </c>
    </row>
    <row r="22" customFormat="false" ht="15" hidden="false" customHeight="false" outlineLevel="0" collapsed="false">
      <c r="A22" s="0" t="s">
        <v>255</v>
      </c>
      <c r="B22" s="12" t="n">
        <v>38.9248</v>
      </c>
      <c r="C22" s="12" t="n">
        <v>39.2655</v>
      </c>
      <c r="D22" s="12" t="n">
        <v>3.30485</v>
      </c>
      <c r="E22" s="12" t="n">
        <v>0.224315</v>
      </c>
      <c r="F22" s="12" t="n">
        <v>6.60382</v>
      </c>
      <c r="G22" s="12" t="n">
        <v>1353.19</v>
      </c>
      <c r="H22" s="12" t="n">
        <v>504.751</v>
      </c>
      <c r="I22" s="11" t="n">
        <f aca="false">(G22-G21)+(H22-H21)</f>
        <v>1.0680000000001</v>
      </c>
      <c r="J22" s="11" t="n">
        <f aca="false">B22-C22</f>
        <v>-0.340700000000005</v>
      </c>
      <c r="K22" s="11" t="n">
        <f aca="false">D22*100/L22</f>
        <v>3.51396383398887</v>
      </c>
      <c r="L22" s="11" t="n">
        <f aca="false">M21</f>
        <v>94.0490612918034</v>
      </c>
      <c r="M22" s="11" t="n">
        <f aca="false">L22*(1+K22/400)/(1+I22/100)-J22/4</f>
        <v>93.9578882146706</v>
      </c>
    </row>
    <row r="23" customFormat="false" ht="15" hidden="false" customHeight="false" outlineLevel="0" collapsed="false">
      <c r="A23" s="0" t="s">
        <v>256</v>
      </c>
      <c r="B23" s="12" t="n">
        <v>38.9326</v>
      </c>
      <c r="C23" s="12" t="n">
        <v>39.3044</v>
      </c>
      <c r="D23" s="12" t="n">
        <v>3.30203</v>
      </c>
      <c r="E23" s="12" t="n">
        <v>0.151112</v>
      </c>
      <c r="F23" s="12" t="n">
        <v>6.6108</v>
      </c>
      <c r="G23" s="12" t="n">
        <v>1353.55</v>
      </c>
      <c r="H23" s="12" t="n">
        <v>505.451</v>
      </c>
      <c r="I23" s="11" t="n">
        <f aca="false">(G23-G22)+(H23-H22)</f>
        <v>1.05999999999995</v>
      </c>
      <c r="J23" s="11" t="n">
        <f aca="false">B23-C23</f>
        <v>-0.3718</v>
      </c>
      <c r="K23" s="11" t="n">
        <f aca="false">D23*100/L23</f>
        <v>3.51437230310634</v>
      </c>
      <c r="L23" s="11" t="n">
        <f aca="false">M22</f>
        <v>93.9578882146706</v>
      </c>
      <c r="M23" s="11" t="n">
        <f aca="false">L23*(1+K23/400)/(1+I23/100)-J23/4</f>
        <v>93.8821798779642</v>
      </c>
    </row>
    <row r="24" customFormat="false" ht="15" hidden="false" customHeight="false" outlineLevel="0" collapsed="false">
      <c r="A24" s="0" t="s">
        <v>257</v>
      </c>
      <c r="B24" s="12" t="n">
        <v>38.9423</v>
      </c>
      <c r="C24" s="12" t="n">
        <v>39.3398</v>
      </c>
      <c r="D24" s="12" t="n">
        <v>3.30343</v>
      </c>
      <c r="E24" s="12" t="n">
        <v>0.28153</v>
      </c>
      <c r="F24" s="12" t="n">
        <v>6.96272</v>
      </c>
      <c r="G24" s="12" t="n">
        <v>1353.92</v>
      </c>
      <c r="H24" s="12" t="n">
        <v>506.155</v>
      </c>
      <c r="I24" s="11" t="n">
        <f aca="false">(G24-G23)+(H24-H23)</f>
        <v>1.07400000000007</v>
      </c>
      <c r="J24" s="11" t="n">
        <f aca="false">B24-C24</f>
        <v>-0.397499999999994</v>
      </c>
      <c r="K24" s="11" t="n">
        <f aca="false">D24*100/L24</f>
        <v>3.51869758914212</v>
      </c>
      <c r="L24" s="11" t="n">
        <f aca="false">M23</f>
        <v>93.8821798779642</v>
      </c>
      <c r="M24" s="11" t="n">
        <f aca="false">L24*(1+K24/400)/(1+I24/100)-J24/4</f>
        <v>93.8010563205811</v>
      </c>
    </row>
    <row r="25" customFormat="false" ht="15" hidden="false" customHeight="false" outlineLevel="0" collapsed="false">
      <c r="A25" s="0" t="s">
        <v>258</v>
      </c>
      <c r="B25" s="12" t="n">
        <v>38.9536</v>
      </c>
      <c r="C25" s="12" t="n">
        <v>39.3716</v>
      </c>
      <c r="D25" s="12" t="n">
        <v>3.30741</v>
      </c>
      <c r="E25" s="12" t="n">
        <v>0.0223507</v>
      </c>
      <c r="F25" s="12" t="n">
        <v>7.1005</v>
      </c>
      <c r="G25" s="12" t="n">
        <v>1354.28</v>
      </c>
      <c r="H25" s="12" t="n">
        <v>506.862</v>
      </c>
      <c r="I25" s="11" t="n">
        <f aca="false">(G25-G24)+(H25-H24)</f>
        <v>1.06699999999995</v>
      </c>
      <c r="J25" s="11" t="n">
        <f aca="false">B25-C25</f>
        <v>-0.417999999999999</v>
      </c>
      <c r="K25" s="11" t="n">
        <f aca="false">D25*100/L25</f>
        <v>3.52598374659701</v>
      </c>
      <c r="L25" s="11" t="n">
        <f aca="false">M24</f>
        <v>93.8010563205811</v>
      </c>
      <c r="M25" s="11" t="n">
        <f aca="false">L25*(1+K25/400)/(1+I25/100)-J25/4</f>
        <v>93.7333885794386</v>
      </c>
    </row>
    <row r="27" customFormat="false" ht="55.5" hidden="false" customHeight="true" outlineLevel="0" collapsed="false">
      <c r="A27" s="8" t="s">
        <v>259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</sheetData>
  <mergeCells count="3">
    <mergeCell ref="A1:M1"/>
    <mergeCell ref="A2:M2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2026-06-12T00:17:38Z</dcterms:created>
  <dc:creator>openpyxl</dc:creator>
  <dc:description/>
  <dc:language>en-US</dc:language>
  <cp:lastModifiedBy/>
  <dcterms:modified xsi:type="dcterms:W3CDTF">2026-06-12T00:17:38Z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